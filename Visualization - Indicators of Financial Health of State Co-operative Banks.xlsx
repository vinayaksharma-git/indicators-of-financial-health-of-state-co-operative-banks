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AK\Desktop\coding-file\ds-projects\staticode\Indicators of Financial Health of State Co-operative Banks\"/>
    </mc:Choice>
  </mc:AlternateContent>
  <xr:revisionPtr revIDLastSave="0" documentId="13_ncr:1_{EADBE7BC-254E-4AE0-AB6C-3960DAC66D03}" xr6:coauthVersionLast="47" xr6:coauthVersionMax="47" xr10:uidLastSave="{00000000-0000-0000-0000-000000000000}"/>
  <bookViews>
    <workbookView xWindow="-108" yWindow="-108" windowWidth="23256" windowHeight="12456" xr2:uid="{62641310-01C2-4619-BB15-6E2F790D10DE}"/>
  </bookViews>
  <sheets>
    <sheet name="Visual - Indicators of Financ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2" i="1"/>
</calcChain>
</file>

<file path=xl/sharedStrings.xml><?xml version="1.0" encoding="utf-8"?>
<sst xmlns="http://schemas.openxmlformats.org/spreadsheetml/2006/main" count="1337" uniqueCount="57">
  <si>
    <t>Country</t>
  </si>
  <si>
    <t>State</t>
  </si>
  <si>
    <t>Year</t>
  </si>
  <si>
    <t>Profit Or Loss Amount (UOM:INR(IndianRupees)), Scaling Factor:100000</t>
  </si>
  <si>
    <t>Non Performing Assets (Npas) As Percentage Of Loans Outstanding (UOM:%(Percentage)), Scaling Factor:1</t>
  </si>
  <si>
    <t>Recovery To Demand  (UOM:%(Percentage)), Scaling Factor:1</t>
  </si>
  <si>
    <t>India</t>
  </si>
  <si>
    <t>Andaman and Nicobar Islands</t>
  </si>
  <si>
    <t>Financial Year (Apr - Mar), 2023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</si>
  <si>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</si>
  <si>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</si>
  <si>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</si>
  <si>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</si>
  <si>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</si>
  <si>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</si>
  <si>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</si>
  <si>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</si>
  <si>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</si>
  <si>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</si>
  <si>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</si>
  <si>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</si>
  <si>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</si>
  <si>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</si>
  <si>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</si>
  <si>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</si>
  <si>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</si>
  <si>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</si>
  <si>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</si>
  <si>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</si>
  <si>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</si>
  <si>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</si>
  <si>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</si>
  <si>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</si>
  <si>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</si>
  <si>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</si>
  <si>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</si>
  <si>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</si>
  <si>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</si>
  <si>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</si>
  <si>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</si>
  <si>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</si>
  <si>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</si>
  <si>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</si>
  <si>
    <t>Financial Year (Apr - Mar), 2022</t>
  </si>
  <si>
    <t>Financial Year (Apr - Mar), 2021</t>
  </si>
  <si>
    <t>Financial Year (Apr - Mar), 2020</t>
  </si>
  <si>
    <t>Financial Year (Apr - Mar), 2019</t>
  </si>
  <si>
    <t>Financial Year (Apr - Mar), 2018</t>
  </si>
  <si>
    <t>Financial Year (Apr - Mar), 2017</t>
  </si>
  <si>
    <t>Financial Year (Apr - Mar), 2016</t>
  </si>
  <si>
    <t>Financial Year (Apr - Mar), 2015</t>
  </si>
  <si>
    <t>Financial Year (Apr - Mar), 2014</t>
  </si>
  <si>
    <t>Financial Year (Apr - Mar), 2011</t>
  </si>
  <si>
    <t>Financial Year (Apr - Mar), 2010</t>
  </si>
  <si>
    <t>Financial Year (Apr - Mar), 2009</t>
  </si>
  <si>
    <t>Profit Or Loss Amount (UOM:INR(IndianRupees))</t>
  </si>
  <si>
    <t>Financial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</si>
</sst>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EC58-1885-45D9-92DA-DA8F5C1B56F1}">
  <dimension ref="A1:H444"/>
  <sheetViews>
    <sheetView tabSelected="1" workbookViewId="0">
      <selection activeCell="E7" sqref="E7"/>
    </sheetView>
  </sheetViews>
  <sheetFormatPr defaultRowHeight="14.4" x14ac:dyDescent="0.3"/>
  <cols>
    <col min="1" max="1" width="7.44140625" bestFit="1" customWidth="1"/>
    <col min="2" max="2" width="40.5546875" bestFit="1" customWidth="1"/>
    <col min="3" max="3" width="10.6640625" customWidth="1"/>
    <col min="4" max="4" width="26.77734375" bestFit="1" customWidth="1"/>
    <col min="5" max="5" width="60.33203125" bestFit="1" customWidth="1"/>
    <col min="6" max="6" width="40.21875" customWidth="1"/>
    <col min="7" max="7" width="86.88671875" customWidth="1"/>
    <col min="8" max="8" width="50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56</v>
      </c>
      <c r="E1" t="s">
        <v>3</v>
      </c>
      <c r="F1" t="s">
        <v>55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 t="str">
        <f>RIGHT(D2,4)</f>
        <v>2023</v>
      </c>
      <c r="D2" t="s">
        <v>8</v>
      </c>
      <c r="E2">
        <v>746</v>
      </c>
      <c r="F2">
        <f>E2*100000</f>
        <v>74600000</v>
      </c>
      <c r="G2">
        <v>25.8</v>
      </c>
      <c r="H2">
        <v>63.4</v>
      </c>
    </row>
    <row r="3" spans="1:8" x14ac:dyDescent="0.3">
      <c r="A3" t="s">
        <v>6</v>
      </c>
      <c r="B3" t="s">
        <v>9</v>
      </c>
      <c r="C3" t="str">
        <f t="shared" ref="C3:C66" si="0">RIGHT(D3,4)</f>
        <v>2023</v>
      </c>
      <c r="D3" t="s">
        <v>8</v>
      </c>
      <c r="E3">
        <v>18980</v>
      </c>
      <c r="F3">
        <f t="shared" ref="F3:F66" si="1">E3*100000</f>
        <v>1898000000</v>
      </c>
      <c r="G3">
        <v>0.5</v>
      </c>
      <c r="H3">
        <v>97.9</v>
      </c>
    </row>
    <row r="4" spans="1:8" x14ac:dyDescent="0.3">
      <c r="A4" t="s">
        <v>6</v>
      </c>
      <c r="B4" t="s">
        <v>10</v>
      </c>
      <c r="C4" t="str">
        <f t="shared" si="0"/>
        <v>2023</v>
      </c>
      <c r="D4" t="s">
        <v>8</v>
      </c>
      <c r="E4">
        <v>-2057</v>
      </c>
      <c r="F4">
        <f t="shared" si="1"/>
        <v>-205700000</v>
      </c>
      <c r="G4">
        <v>39.9</v>
      </c>
      <c r="H4">
        <v>15.8</v>
      </c>
    </row>
    <row r="5" spans="1:8" x14ac:dyDescent="0.3">
      <c r="A5" t="s">
        <v>6</v>
      </c>
      <c r="B5" t="s">
        <v>11</v>
      </c>
      <c r="C5" t="str">
        <f t="shared" si="0"/>
        <v>2023</v>
      </c>
      <c r="D5" t="s">
        <v>8</v>
      </c>
      <c r="E5">
        <v>1401</v>
      </c>
      <c r="F5">
        <f t="shared" si="1"/>
        <v>140100000</v>
      </c>
      <c r="G5">
        <v>9.1999999999999993</v>
      </c>
      <c r="H5">
        <v>66.099999999999994</v>
      </c>
    </row>
    <row r="6" spans="1:8" x14ac:dyDescent="0.3">
      <c r="A6" t="s">
        <v>6</v>
      </c>
      <c r="B6" t="s">
        <v>12</v>
      </c>
      <c r="C6" t="str">
        <f t="shared" si="0"/>
        <v>2023</v>
      </c>
      <c r="D6" t="s">
        <v>8</v>
      </c>
      <c r="E6">
        <v>6764</v>
      </c>
      <c r="F6">
        <f t="shared" si="1"/>
        <v>676400000</v>
      </c>
      <c r="G6">
        <v>3.1</v>
      </c>
      <c r="H6">
        <v>17.3</v>
      </c>
    </row>
    <row r="7" spans="1:8" x14ac:dyDescent="0.3">
      <c r="A7" t="s">
        <v>6</v>
      </c>
      <c r="B7" t="s">
        <v>13</v>
      </c>
      <c r="C7" t="str">
        <f t="shared" si="0"/>
        <v>2023</v>
      </c>
      <c r="D7" t="s">
        <v>8</v>
      </c>
      <c r="E7">
        <v>1174</v>
      </c>
      <c r="F7">
        <f t="shared" si="1"/>
        <v>117400000</v>
      </c>
      <c r="G7">
        <v>2.4</v>
      </c>
      <c r="H7">
        <v>83.9</v>
      </c>
    </row>
    <row r="8" spans="1:8" x14ac:dyDescent="0.3">
      <c r="A8" t="s">
        <v>6</v>
      </c>
      <c r="B8" t="s">
        <v>14</v>
      </c>
      <c r="C8" t="str">
        <f t="shared" si="0"/>
        <v>2023</v>
      </c>
      <c r="D8" t="s">
        <v>8</v>
      </c>
      <c r="E8">
        <v>3683</v>
      </c>
      <c r="F8">
        <f t="shared" si="1"/>
        <v>368300000</v>
      </c>
      <c r="G8">
        <v>2</v>
      </c>
      <c r="H8">
        <v>97.2</v>
      </c>
    </row>
    <row r="9" spans="1:8" x14ac:dyDescent="0.3">
      <c r="A9" t="s">
        <v>6</v>
      </c>
      <c r="B9" t="s">
        <v>15</v>
      </c>
      <c r="C9" t="str">
        <f t="shared" si="0"/>
        <v>2023</v>
      </c>
      <c r="D9" t="s">
        <v>8</v>
      </c>
      <c r="E9">
        <v>2123</v>
      </c>
      <c r="F9">
        <f t="shared" si="1"/>
        <v>212300000</v>
      </c>
      <c r="G9">
        <v>0.7</v>
      </c>
      <c r="H9">
        <v>98.1</v>
      </c>
    </row>
    <row r="10" spans="1:8" x14ac:dyDescent="0.3">
      <c r="A10" t="s">
        <v>6</v>
      </c>
      <c r="B10" t="s">
        <v>16</v>
      </c>
      <c r="C10" t="str">
        <f t="shared" si="0"/>
        <v>2023</v>
      </c>
      <c r="D10" t="s">
        <v>8</v>
      </c>
      <c r="E10">
        <v>482</v>
      </c>
      <c r="F10">
        <f t="shared" si="1"/>
        <v>48200000</v>
      </c>
      <c r="G10">
        <v>4.2</v>
      </c>
      <c r="H10">
        <v>91.7</v>
      </c>
    </row>
    <row r="11" spans="1:8" x14ac:dyDescent="0.3">
      <c r="A11" t="s">
        <v>6</v>
      </c>
      <c r="B11" t="s">
        <v>17</v>
      </c>
      <c r="C11" t="str">
        <f t="shared" si="0"/>
        <v>2023</v>
      </c>
      <c r="D11" t="s">
        <v>8</v>
      </c>
      <c r="E11">
        <v>10692</v>
      </c>
      <c r="F11">
        <f t="shared" si="1"/>
        <v>1069200000</v>
      </c>
      <c r="G11">
        <v>0.7</v>
      </c>
      <c r="H11">
        <v>96.1</v>
      </c>
    </row>
    <row r="12" spans="1:8" x14ac:dyDescent="0.3">
      <c r="A12" t="s">
        <v>6</v>
      </c>
      <c r="B12" t="s">
        <v>18</v>
      </c>
      <c r="C12" t="str">
        <f t="shared" si="0"/>
        <v>2023</v>
      </c>
      <c r="D12" t="s">
        <v>8</v>
      </c>
      <c r="E12">
        <v>6185</v>
      </c>
      <c r="F12">
        <f t="shared" si="1"/>
        <v>618500000</v>
      </c>
      <c r="G12">
        <v>0</v>
      </c>
      <c r="H12">
        <v>100</v>
      </c>
    </row>
    <row r="13" spans="1:8" x14ac:dyDescent="0.3">
      <c r="A13" t="s">
        <v>6</v>
      </c>
      <c r="B13" t="s">
        <v>19</v>
      </c>
      <c r="C13" t="str">
        <f t="shared" si="0"/>
        <v>2023</v>
      </c>
      <c r="D13" t="s">
        <v>8</v>
      </c>
      <c r="E13">
        <v>11876</v>
      </c>
      <c r="F13">
        <f t="shared" si="1"/>
        <v>1187600000</v>
      </c>
      <c r="G13">
        <v>3.9</v>
      </c>
      <c r="H13">
        <v>71.900000000000006</v>
      </c>
    </row>
    <row r="14" spans="1:8" x14ac:dyDescent="0.3">
      <c r="A14" t="s">
        <v>6</v>
      </c>
      <c r="B14" t="s">
        <v>20</v>
      </c>
      <c r="C14" t="str">
        <f t="shared" si="0"/>
        <v>2023</v>
      </c>
      <c r="D14" t="s">
        <v>8</v>
      </c>
      <c r="E14">
        <v>-1456.430895</v>
      </c>
      <c r="F14">
        <f t="shared" si="1"/>
        <v>-145643089.5</v>
      </c>
      <c r="G14">
        <v>55.5</v>
      </c>
      <c r="H14">
        <v>63</v>
      </c>
    </row>
    <row r="15" spans="1:8" x14ac:dyDescent="0.3">
      <c r="A15" t="s">
        <v>6</v>
      </c>
      <c r="B15" t="s">
        <v>21</v>
      </c>
      <c r="C15" t="str">
        <f t="shared" si="0"/>
        <v>2023</v>
      </c>
      <c r="D15" t="s">
        <v>8</v>
      </c>
      <c r="E15">
        <v>6669</v>
      </c>
      <c r="F15">
        <f t="shared" si="1"/>
        <v>666900000</v>
      </c>
      <c r="G15">
        <v>9.4</v>
      </c>
      <c r="H15">
        <v>55</v>
      </c>
    </row>
    <row r="16" spans="1:8" x14ac:dyDescent="0.3">
      <c r="A16" t="s">
        <v>6</v>
      </c>
      <c r="B16" t="s">
        <v>22</v>
      </c>
      <c r="C16" t="str">
        <f t="shared" si="0"/>
        <v>2023</v>
      </c>
      <c r="D16" t="s">
        <v>8</v>
      </c>
      <c r="E16">
        <v>6500</v>
      </c>
      <c r="F16">
        <f t="shared" si="1"/>
        <v>650000000</v>
      </c>
      <c r="G16">
        <v>4.5999999999999996</v>
      </c>
      <c r="H16">
        <v>97.6</v>
      </c>
    </row>
    <row r="17" spans="1:8" x14ac:dyDescent="0.3">
      <c r="A17" t="s">
        <v>6</v>
      </c>
      <c r="B17" t="s">
        <v>23</v>
      </c>
      <c r="C17" t="str">
        <f t="shared" si="0"/>
        <v>2023</v>
      </c>
      <c r="D17" t="s">
        <v>8</v>
      </c>
      <c r="E17">
        <v>24781</v>
      </c>
      <c r="F17">
        <f t="shared" si="1"/>
        <v>2478100000</v>
      </c>
      <c r="G17">
        <v>11.2</v>
      </c>
      <c r="H17">
        <v>73.3</v>
      </c>
    </row>
    <row r="18" spans="1:8" x14ac:dyDescent="0.3">
      <c r="A18" t="s">
        <v>6</v>
      </c>
      <c r="B18" t="s">
        <v>24</v>
      </c>
      <c r="C18" t="str">
        <f t="shared" si="0"/>
        <v>2023</v>
      </c>
      <c r="D18" t="s">
        <v>8</v>
      </c>
      <c r="E18">
        <v>-32.569105389999997</v>
      </c>
      <c r="F18">
        <f t="shared" si="1"/>
        <v>-3256910.5389999999</v>
      </c>
      <c r="G18">
        <v>55.5</v>
      </c>
      <c r="H18">
        <v>63</v>
      </c>
    </row>
    <row r="19" spans="1:8" x14ac:dyDescent="0.3">
      <c r="A19" t="s">
        <v>6</v>
      </c>
      <c r="B19" t="s">
        <v>25</v>
      </c>
      <c r="C19" t="str">
        <f t="shared" si="0"/>
        <v>2023</v>
      </c>
      <c r="D19" t="s">
        <v>8</v>
      </c>
      <c r="E19">
        <v>11154</v>
      </c>
      <c r="F19">
        <f t="shared" si="1"/>
        <v>1115400000</v>
      </c>
      <c r="G19">
        <v>5.0999999999999996</v>
      </c>
      <c r="H19">
        <v>86</v>
      </c>
    </row>
    <row r="20" spans="1:8" x14ac:dyDescent="0.3">
      <c r="A20" t="s">
        <v>6</v>
      </c>
      <c r="B20" t="s">
        <v>26</v>
      </c>
      <c r="C20" t="str">
        <f t="shared" si="0"/>
        <v>2023</v>
      </c>
      <c r="D20" t="s">
        <v>8</v>
      </c>
      <c r="E20">
        <v>68688</v>
      </c>
      <c r="F20">
        <f t="shared" si="1"/>
        <v>6868800000</v>
      </c>
      <c r="G20">
        <v>9.1999999999999993</v>
      </c>
      <c r="H20">
        <v>73.900000000000006</v>
      </c>
    </row>
    <row r="21" spans="1:8" x14ac:dyDescent="0.3">
      <c r="A21" t="s">
        <v>6</v>
      </c>
      <c r="B21" t="s">
        <v>27</v>
      </c>
      <c r="C21" t="str">
        <f t="shared" si="0"/>
        <v>2023</v>
      </c>
      <c r="D21" t="s">
        <v>8</v>
      </c>
      <c r="E21">
        <v>401</v>
      </c>
      <c r="F21">
        <f t="shared" si="1"/>
        <v>40100000</v>
      </c>
      <c r="G21">
        <v>18.100000000000001</v>
      </c>
      <c r="H21">
        <v>64.599999999999994</v>
      </c>
    </row>
    <row r="22" spans="1:8" x14ac:dyDescent="0.3">
      <c r="A22" t="s">
        <v>6</v>
      </c>
      <c r="B22" t="s">
        <v>28</v>
      </c>
      <c r="C22" t="str">
        <f t="shared" si="0"/>
        <v>2023</v>
      </c>
      <c r="D22" t="s">
        <v>8</v>
      </c>
      <c r="E22">
        <v>1670</v>
      </c>
      <c r="F22">
        <f t="shared" si="1"/>
        <v>167000000</v>
      </c>
      <c r="G22">
        <v>8</v>
      </c>
      <c r="H22">
        <v>31.4</v>
      </c>
    </row>
    <row r="23" spans="1:8" x14ac:dyDescent="0.3">
      <c r="A23" t="s">
        <v>6</v>
      </c>
      <c r="B23" t="s">
        <v>29</v>
      </c>
      <c r="C23" t="str">
        <f t="shared" si="0"/>
        <v>2023</v>
      </c>
      <c r="D23" t="s">
        <v>8</v>
      </c>
      <c r="E23">
        <v>4246</v>
      </c>
      <c r="F23">
        <f t="shared" si="1"/>
        <v>424600000</v>
      </c>
      <c r="G23">
        <v>2.5</v>
      </c>
      <c r="H23">
        <v>84.8</v>
      </c>
    </row>
    <row r="24" spans="1:8" x14ac:dyDescent="0.3">
      <c r="A24" t="s">
        <v>6</v>
      </c>
      <c r="B24" t="s">
        <v>30</v>
      </c>
      <c r="C24" t="str">
        <f t="shared" si="0"/>
        <v>2023</v>
      </c>
      <c r="D24" t="s">
        <v>8</v>
      </c>
      <c r="E24">
        <v>858</v>
      </c>
      <c r="F24">
        <f t="shared" si="1"/>
        <v>85800000</v>
      </c>
      <c r="G24">
        <v>14.2</v>
      </c>
      <c r="H24">
        <v>59.7</v>
      </c>
    </row>
    <row r="25" spans="1:8" x14ac:dyDescent="0.3">
      <c r="A25" t="s">
        <v>6</v>
      </c>
      <c r="B25" t="s">
        <v>31</v>
      </c>
      <c r="C25" t="str">
        <f t="shared" si="0"/>
        <v>2023</v>
      </c>
      <c r="D25" t="s">
        <v>8</v>
      </c>
      <c r="E25">
        <v>21589</v>
      </c>
      <c r="F25">
        <f t="shared" si="1"/>
        <v>2158900000</v>
      </c>
      <c r="G25">
        <v>1.1000000000000001</v>
      </c>
      <c r="H25">
        <v>98.7</v>
      </c>
    </row>
    <row r="26" spans="1:8" x14ac:dyDescent="0.3">
      <c r="A26" t="s">
        <v>6</v>
      </c>
      <c r="B26" t="s">
        <v>32</v>
      </c>
      <c r="C26" t="str">
        <f t="shared" si="0"/>
        <v>2023</v>
      </c>
      <c r="D26" t="s">
        <v>8</v>
      </c>
      <c r="E26">
        <v>60</v>
      </c>
      <c r="F26">
        <f t="shared" si="1"/>
        <v>6000000</v>
      </c>
      <c r="G26">
        <v>11.6</v>
      </c>
      <c r="H26">
        <v>71.599999999999994</v>
      </c>
    </row>
    <row r="27" spans="1:8" x14ac:dyDescent="0.3">
      <c r="A27" t="s">
        <v>6</v>
      </c>
      <c r="B27" t="s">
        <v>33</v>
      </c>
      <c r="C27" t="str">
        <f t="shared" si="0"/>
        <v>2023</v>
      </c>
      <c r="D27" t="s">
        <v>8</v>
      </c>
      <c r="E27">
        <v>3561</v>
      </c>
      <c r="F27">
        <f t="shared" si="1"/>
        <v>356100000</v>
      </c>
      <c r="G27">
        <v>0.9</v>
      </c>
      <c r="H27">
        <v>98.4</v>
      </c>
    </row>
    <row r="28" spans="1:8" x14ac:dyDescent="0.3">
      <c r="A28" t="s">
        <v>6</v>
      </c>
      <c r="B28" t="s">
        <v>34</v>
      </c>
      <c r="C28" t="str">
        <f t="shared" si="0"/>
        <v>2023</v>
      </c>
      <c r="D28" t="s">
        <v>8</v>
      </c>
      <c r="E28">
        <v>7621</v>
      </c>
      <c r="F28">
        <f t="shared" si="1"/>
        <v>762100000</v>
      </c>
      <c r="G28">
        <v>0.2</v>
      </c>
      <c r="H28">
        <v>99.8</v>
      </c>
    </row>
    <row r="29" spans="1:8" x14ac:dyDescent="0.3">
      <c r="A29" t="s">
        <v>6</v>
      </c>
      <c r="B29" t="s">
        <v>35</v>
      </c>
      <c r="C29" t="str">
        <f t="shared" si="0"/>
        <v>2023</v>
      </c>
      <c r="D29" t="s">
        <v>8</v>
      </c>
      <c r="E29">
        <v>834</v>
      </c>
      <c r="F29">
        <f t="shared" si="1"/>
        <v>83400000</v>
      </c>
      <c r="G29">
        <v>3.5</v>
      </c>
      <c r="H29">
        <v>59.5</v>
      </c>
    </row>
    <row r="30" spans="1:8" x14ac:dyDescent="0.3">
      <c r="A30" t="s">
        <v>6</v>
      </c>
      <c r="B30" t="s">
        <v>36</v>
      </c>
      <c r="C30" t="str">
        <f t="shared" si="0"/>
        <v>2023</v>
      </c>
      <c r="D30" t="s">
        <v>8</v>
      </c>
      <c r="E30">
        <v>12129</v>
      </c>
      <c r="F30">
        <f t="shared" si="1"/>
        <v>1212900000</v>
      </c>
      <c r="G30">
        <v>2.9</v>
      </c>
      <c r="H30">
        <v>99.4</v>
      </c>
    </row>
    <row r="31" spans="1:8" x14ac:dyDescent="0.3">
      <c r="A31" t="s">
        <v>6</v>
      </c>
      <c r="B31" t="s">
        <v>37</v>
      </c>
      <c r="C31" t="str">
        <f t="shared" si="0"/>
        <v>2023</v>
      </c>
      <c r="D31" t="s">
        <v>8</v>
      </c>
      <c r="E31">
        <v>6540</v>
      </c>
      <c r="F31">
        <f t="shared" si="1"/>
        <v>654000000</v>
      </c>
      <c r="G31">
        <v>0.1</v>
      </c>
      <c r="H31">
        <v>98.8</v>
      </c>
    </row>
    <row r="32" spans="1:8" x14ac:dyDescent="0.3">
      <c r="A32" t="s">
        <v>6</v>
      </c>
      <c r="B32" t="s">
        <v>38</v>
      </c>
      <c r="C32" t="str">
        <f t="shared" si="0"/>
        <v>2023</v>
      </c>
      <c r="D32" t="s">
        <v>8</v>
      </c>
      <c r="E32">
        <v>970</v>
      </c>
      <c r="F32">
        <f t="shared" si="1"/>
        <v>97000000</v>
      </c>
      <c r="G32">
        <v>4.4000000000000004</v>
      </c>
      <c r="H32">
        <v>68.099999999999994</v>
      </c>
    </row>
    <row r="33" spans="1:8" x14ac:dyDescent="0.3">
      <c r="A33" t="s">
        <v>6</v>
      </c>
      <c r="B33" t="s">
        <v>39</v>
      </c>
      <c r="C33" t="str">
        <f t="shared" si="0"/>
        <v>2023</v>
      </c>
      <c r="D33" t="s">
        <v>8</v>
      </c>
      <c r="E33">
        <v>2795</v>
      </c>
      <c r="F33">
        <f t="shared" si="1"/>
        <v>279500000</v>
      </c>
      <c r="G33">
        <v>7.6</v>
      </c>
      <c r="H33">
        <v>93.7</v>
      </c>
    </row>
    <row r="34" spans="1:8" x14ac:dyDescent="0.3">
      <c r="A34" t="s">
        <v>6</v>
      </c>
      <c r="B34" t="s">
        <v>40</v>
      </c>
      <c r="C34" t="str">
        <f t="shared" si="0"/>
        <v>2023</v>
      </c>
      <c r="D34" t="s">
        <v>8</v>
      </c>
      <c r="E34">
        <v>7287</v>
      </c>
      <c r="F34">
        <f t="shared" si="1"/>
        <v>728700000</v>
      </c>
      <c r="G34">
        <v>3.1</v>
      </c>
      <c r="H34">
        <v>98.1</v>
      </c>
    </row>
    <row r="35" spans="1:8" x14ac:dyDescent="0.3">
      <c r="A35" t="s">
        <v>6</v>
      </c>
      <c r="B35" t="s">
        <v>41</v>
      </c>
      <c r="C35" t="str">
        <f t="shared" si="0"/>
        <v>2023</v>
      </c>
      <c r="D35" t="s">
        <v>8</v>
      </c>
      <c r="E35">
        <v>1549</v>
      </c>
      <c r="F35">
        <f t="shared" si="1"/>
        <v>154900000</v>
      </c>
      <c r="G35">
        <v>4.0999999999999996</v>
      </c>
      <c r="H35">
        <v>97.6</v>
      </c>
    </row>
    <row r="36" spans="1:8" x14ac:dyDescent="0.3">
      <c r="A36" t="s">
        <v>6</v>
      </c>
      <c r="B36" t="s">
        <v>42</v>
      </c>
      <c r="C36" t="str">
        <f t="shared" si="0"/>
        <v>2023</v>
      </c>
      <c r="D36" t="s">
        <v>8</v>
      </c>
      <c r="E36">
        <v>18682</v>
      </c>
      <c r="F36">
        <f t="shared" si="1"/>
        <v>1868200000</v>
      </c>
      <c r="G36">
        <v>4.8</v>
      </c>
      <c r="H36">
        <v>89.2</v>
      </c>
    </row>
    <row r="37" spans="1:8" x14ac:dyDescent="0.3">
      <c r="A37" t="s">
        <v>6</v>
      </c>
      <c r="B37" t="s">
        <v>7</v>
      </c>
      <c r="C37" t="str">
        <f t="shared" si="0"/>
        <v>2022</v>
      </c>
      <c r="D37" t="s">
        <v>43</v>
      </c>
      <c r="E37">
        <v>608</v>
      </c>
      <c r="F37">
        <f t="shared" si="1"/>
        <v>60800000</v>
      </c>
      <c r="G37">
        <v>34.9</v>
      </c>
      <c r="H37">
        <v>67.900000000000006</v>
      </c>
    </row>
    <row r="38" spans="1:8" x14ac:dyDescent="0.3">
      <c r="A38" t="s">
        <v>6</v>
      </c>
      <c r="B38" t="s">
        <v>9</v>
      </c>
      <c r="C38" t="str">
        <f t="shared" si="0"/>
        <v>2022</v>
      </c>
      <c r="D38" t="s">
        <v>43</v>
      </c>
      <c r="E38">
        <v>18265</v>
      </c>
      <c r="F38">
        <f t="shared" si="1"/>
        <v>1826500000</v>
      </c>
      <c r="G38">
        <v>0.6</v>
      </c>
      <c r="H38">
        <v>99.7</v>
      </c>
    </row>
    <row r="39" spans="1:8" x14ac:dyDescent="0.3">
      <c r="A39" t="s">
        <v>6</v>
      </c>
      <c r="B39" t="s">
        <v>10</v>
      </c>
      <c r="C39" t="str">
        <f t="shared" si="0"/>
        <v>2022</v>
      </c>
      <c r="D39" t="s">
        <v>43</v>
      </c>
      <c r="E39">
        <v>-4990</v>
      </c>
      <c r="F39">
        <f t="shared" si="1"/>
        <v>-499000000</v>
      </c>
      <c r="G39">
        <v>50.1</v>
      </c>
      <c r="H39">
        <v>26.1</v>
      </c>
    </row>
    <row r="40" spans="1:8" x14ac:dyDescent="0.3">
      <c r="A40" t="s">
        <v>6</v>
      </c>
      <c r="B40" t="s">
        <v>11</v>
      </c>
      <c r="C40" t="str">
        <f t="shared" si="0"/>
        <v>2022</v>
      </c>
      <c r="D40" t="s">
        <v>43</v>
      </c>
      <c r="E40">
        <v>1220</v>
      </c>
      <c r="F40">
        <f t="shared" si="1"/>
        <v>122000000</v>
      </c>
      <c r="G40">
        <v>9.6</v>
      </c>
      <c r="H40">
        <v>63.2</v>
      </c>
    </row>
    <row r="41" spans="1:8" x14ac:dyDescent="0.3">
      <c r="A41" t="s">
        <v>6</v>
      </c>
      <c r="B41" t="s">
        <v>12</v>
      </c>
      <c r="C41" t="str">
        <f t="shared" si="0"/>
        <v>2022</v>
      </c>
      <c r="D41" t="s">
        <v>43</v>
      </c>
      <c r="E41">
        <v>7616</v>
      </c>
      <c r="F41">
        <f t="shared" si="1"/>
        <v>761600000</v>
      </c>
      <c r="G41">
        <v>2.2999999999999998</v>
      </c>
      <c r="H41">
        <v>64.099999999999994</v>
      </c>
    </row>
    <row r="42" spans="1:8" x14ac:dyDescent="0.3">
      <c r="A42" t="s">
        <v>6</v>
      </c>
      <c r="B42" t="s">
        <v>13</v>
      </c>
      <c r="C42" t="str">
        <f t="shared" si="0"/>
        <v>2022</v>
      </c>
      <c r="D42" t="s">
        <v>43</v>
      </c>
      <c r="E42">
        <v>550</v>
      </c>
      <c r="F42">
        <f t="shared" si="1"/>
        <v>55000000</v>
      </c>
      <c r="G42">
        <v>3.3</v>
      </c>
      <c r="H42">
        <v>80.5</v>
      </c>
    </row>
    <row r="43" spans="1:8" x14ac:dyDescent="0.3">
      <c r="A43" t="s">
        <v>6</v>
      </c>
      <c r="B43" t="s">
        <v>14</v>
      </c>
      <c r="C43" t="str">
        <f t="shared" si="0"/>
        <v>2022</v>
      </c>
      <c r="D43" t="s">
        <v>43</v>
      </c>
      <c r="E43">
        <v>3389</v>
      </c>
      <c r="F43">
        <f t="shared" si="1"/>
        <v>338900000</v>
      </c>
      <c r="G43">
        <v>1.9</v>
      </c>
      <c r="H43">
        <v>96.4</v>
      </c>
    </row>
    <row r="44" spans="1:8" x14ac:dyDescent="0.3">
      <c r="A44" t="s">
        <v>6</v>
      </c>
      <c r="B44" t="s">
        <v>15</v>
      </c>
      <c r="C44" t="str">
        <f t="shared" si="0"/>
        <v>2022</v>
      </c>
      <c r="D44" t="s">
        <v>43</v>
      </c>
      <c r="E44">
        <v>2122</v>
      </c>
      <c r="F44">
        <f t="shared" si="1"/>
        <v>212200000</v>
      </c>
      <c r="G44">
        <v>0.9</v>
      </c>
      <c r="H44">
        <v>98</v>
      </c>
    </row>
    <row r="45" spans="1:8" x14ac:dyDescent="0.3">
      <c r="A45" t="s">
        <v>6</v>
      </c>
      <c r="B45" t="s">
        <v>16</v>
      </c>
      <c r="C45" t="str">
        <f t="shared" si="0"/>
        <v>2022</v>
      </c>
      <c r="D45" t="s">
        <v>43</v>
      </c>
      <c r="E45">
        <v>177</v>
      </c>
      <c r="F45">
        <f t="shared" si="1"/>
        <v>17700000</v>
      </c>
      <c r="G45">
        <v>10</v>
      </c>
      <c r="H45">
        <v>80.8</v>
      </c>
    </row>
    <row r="46" spans="1:8" x14ac:dyDescent="0.3">
      <c r="A46" t="s">
        <v>6</v>
      </c>
      <c r="B46" t="s">
        <v>17</v>
      </c>
      <c r="C46" t="str">
        <f t="shared" si="0"/>
        <v>2022</v>
      </c>
      <c r="D46" t="s">
        <v>43</v>
      </c>
      <c r="E46">
        <v>10559</v>
      </c>
      <c r="F46">
        <f t="shared" si="1"/>
        <v>1055900000</v>
      </c>
      <c r="G46">
        <v>0.8</v>
      </c>
      <c r="H46">
        <v>95.9</v>
      </c>
    </row>
    <row r="47" spans="1:8" x14ac:dyDescent="0.3">
      <c r="A47" t="s">
        <v>6</v>
      </c>
      <c r="B47" t="s">
        <v>18</v>
      </c>
      <c r="C47" t="str">
        <f t="shared" si="0"/>
        <v>2022</v>
      </c>
      <c r="D47" t="s">
        <v>43</v>
      </c>
      <c r="E47">
        <v>8852</v>
      </c>
      <c r="F47">
        <f t="shared" si="1"/>
        <v>885200000</v>
      </c>
      <c r="G47">
        <v>0.1</v>
      </c>
      <c r="H47">
        <v>100</v>
      </c>
    </row>
    <row r="48" spans="1:8" x14ac:dyDescent="0.3">
      <c r="A48" t="s">
        <v>6</v>
      </c>
      <c r="B48" t="s">
        <v>19</v>
      </c>
      <c r="C48" t="str">
        <f t="shared" si="0"/>
        <v>2022</v>
      </c>
      <c r="D48" t="s">
        <v>43</v>
      </c>
      <c r="E48">
        <v>15912</v>
      </c>
      <c r="F48">
        <f t="shared" si="1"/>
        <v>1591200000</v>
      </c>
      <c r="G48">
        <v>7</v>
      </c>
      <c r="H48">
        <v>71.8</v>
      </c>
    </row>
    <row r="49" spans="1:8" x14ac:dyDescent="0.3">
      <c r="A49" t="s">
        <v>6</v>
      </c>
      <c r="B49" t="s">
        <v>20</v>
      </c>
      <c r="C49" t="str">
        <f t="shared" si="0"/>
        <v>2022</v>
      </c>
      <c r="D49" t="s">
        <v>43</v>
      </c>
      <c r="E49">
        <v>-971.27997200000004</v>
      </c>
      <c r="F49">
        <f t="shared" si="1"/>
        <v>-97127997.200000003</v>
      </c>
      <c r="G49">
        <v>53</v>
      </c>
      <c r="H49">
        <v>73.599999999999994</v>
      </c>
    </row>
    <row r="50" spans="1:8" x14ac:dyDescent="0.3">
      <c r="A50" t="s">
        <v>6</v>
      </c>
      <c r="B50" t="s">
        <v>21</v>
      </c>
      <c r="C50" t="str">
        <f t="shared" si="0"/>
        <v>2022</v>
      </c>
      <c r="D50" t="s">
        <v>43</v>
      </c>
      <c r="E50">
        <v>3060</v>
      </c>
      <c r="F50">
        <f t="shared" si="1"/>
        <v>306000000</v>
      </c>
      <c r="G50">
        <v>11.9</v>
      </c>
      <c r="H50">
        <v>52.7</v>
      </c>
    </row>
    <row r="51" spans="1:8" x14ac:dyDescent="0.3">
      <c r="A51" t="s">
        <v>6</v>
      </c>
      <c r="B51" t="s">
        <v>22</v>
      </c>
      <c r="C51" t="str">
        <f t="shared" si="0"/>
        <v>2022</v>
      </c>
      <c r="D51" t="s">
        <v>43</v>
      </c>
      <c r="E51">
        <v>11000</v>
      </c>
      <c r="F51">
        <f t="shared" si="1"/>
        <v>1100000000</v>
      </c>
      <c r="G51">
        <v>4.4000000000000004</v>
      </c>
      <c r="H51">
        <v>97.9</v>
      </c>
    </row>
    <row r="52" spans="1:8" x14ac:dyDescent="0.3">
      <c r="A52" t="s">
        <v>6</v>
      </c>
      <c r="B52" t="s">
        <v>23</v>
      </c>
      <c r="C52" t="str">
        <f t="shared" si="0"/>
        <v>2022</v>
      </c>
      <c r="D52" t="s">
        <v>43</v>
      </c>
      <c r="E52">
        <v>3252</v>
      </c>
      <c r="F52">
        <f t="shared" si="1"/>
        <v>325200000</v>
      </c>
      <c r="G52">
        <v>12.1</v>
      </c>
      <c r="H52">
        <v>78.400000000000006</v>
      </c>
    </row>
    <row r="53" spans="1:8" x14ac:dyDescent="0.3">
      <c r="A53" t="s">
        <v>6</v>
      </c>
      <c r="B53" t="s">
        <v>24</v>
      </c>
      <c r="C53" t="str">
        <f t="shared" si="0"/>
        <v>2022</v>
      </c>
      <c r="D53" t="s">
        <v>43</v>
      </c>
      <c r="E53">
        <v>-21.72002797</v>
      </c>
      <c r="F53">
        <f t="shared" si="1"/>
        <v>-2172002.7970000003</v>
      </c>
      <c r="G53">
        <v>53</v>
      </c>
      <c r="H53">
        <v>73.599999999999994</v>
      </c>
    </row>
    <row r="54" spans="1:8" x14ac:dyDescent="0.3">
      <c r="A54" t="s">
        <v>6</v>
      </c>
      <c r="B54" t="s">
        <v>25</v>
      </c>
      <c r="C54" t="str">
        <f t="shared" si="0"/>
        <v>2022</v>
      </c>
      <c r="D54" t="s">
        <v>43</v>
      </c>
      <c r="E54">
        <v>12817</v>
      </c>
      <c r="F54">
        <f t="shared" si="1"/>
        <v>1281700000</v>
      </c>
      <c r="G54">
        <v>4.3</v>
      </c>
      <c r="H54">
        <v>91.8</v>
      </c>
    </row>
    <row r="55" spans="1:8" x14ac:dyDescent="0.3">
      <c r="A55" t="s">
        <v>6</v>
      </c>
      <c r="B55" t="s">
        <v>26</v>
      </c>
      <c r="C55" t="str">
        <f t="shared" si="0"/>
        <v>2022</v>
      </c>
      <c r="D55" t="s">
        <v>43</v>
      </c>
      <c r="E55">
        <v>66680</v>
      </c>
      <c r="F55">
        <f t="shared" si="1"/>
        <v>6668000000</v>
      </c>
      <c r="G55">
        <v>10.7</v>
      </c>
      <c r="H55">
        <v>82.4</v>
      </c>
    </row>
    <row r="56" spans="1:8" x14ac:dyDescent="0.3">
      <c r="A56" t="s">
        <v>6</v>
      </c>
      <c r="B56" t="s">
        <v>27</v>
      </c>
      <c r="C56" t="str">
        <f t="shared" si="0"/>
        <v>2022</v>
      </c>
      <c r="D56" t="s">
        <v>43</v>
      </c>
      <c r="E56">
        <v>366</v>
      </c>
      <c r="F56">
        <f t="shared" si="1"/>
        <v>36600000</v>
      </c>
      <c r="G56">
        <v>24.1</v>
      </c>
      <c r="H56">
        <v>63.7</v>
      </c>
    </row>
    <row r="57" spans="1:8" x14ac:dyDescent="0.3">
      <c r="A57" t="s">
        <v>6</v>
      </c>
      <c r="B57" t="s">
        <v>28</v>
      </c>
      <c r="C57" t="str">
        <f t="shared" si="0"/>
        <v>2022</v>
      </c>
      <c r="D57" t="s">
        <v>43</v>
      </c>
      <c r="E57">
        <v>1477</v>
      </c>
      <c r="F57">
        <f t="shared" si="1"/>
        <v>147700000</v>
      </c>
      <c r="G57">
        <v>7.6</v>
      </c>
      <c r="H57">
        <v>48.4</v>
      </c>
    </row>
    <row r="58" spans="1:8" x14ac:dyDescent="0.3">
      <c r="A58" t="s">
        <v>6</v>
      </c>
      <c r="B58" t="s">
        <v>29</v>
      </c>
      <c r="C58" t="str">
        <f t="shared" si="0"/>
        <v>2022</v>
      </c>
      <c r="D58" t="s">
        <v>43</v>
      </c>
      <c r="E58">
        <v>3966</v>
      </c>
      <c r="F58">
        <f t="shared" si="1"/>
        <v>396600000</v>
      </c>
      <c r="G58">
        <v>2.8</v>
      </c>
      <c r="H58">
        <v>63.1</v>
      </c>
    </row>
    <row r="59" spans="1:8" x14ac:dyDescent="0.3">
      <c r="A59" t="s">
        <v>6</v>
      </c>
      <c r="B59" t="s">
        <v>30</v>
      </c>
      <c r="C59" t="str">
        <f t="shared" si="0"/>
        <v>2022</v>
      </c>
      <c r="D59" t="s">
        <v>43</v>
      </c>
      <c r="E59">
        <v>242</v>
      </c>
      <c r="F59">
        <f t="shared" si="1"/>
        <v>24200000</v>
      </c>
      <c r="G59">
        <v>15.9</v>
      </c>
      <c r="H59">
        <v>60.5</v>
      </c>
    </row>
    <row r="60" spans="1:8" x14ac:dyDescent="0.3">
      <c r="A60" t="s">
        <v>6</v>
      </c>
      <c r="B60" t="s">
        <v>31</v>
      </c>
      <c r="C60" t="str">
        <f t="shared" si="0"/>
        <v>2022</v>
      </c>
      <c r="D60" t="s">
        <v>43</v>
      </c>
      <c r="E60">
        <v>22914</v>
      </c>
      <c r="F60">
        <f t="shared" si="1"/>
        <v>2291400000</v>
      </c>
      <c r="G60">
        <v>1</v>
      </c>
      <c r="H60">
        <v>94</v>
      </c>
    </row>
    <row r="61" spans="1:8" x14ac:dyDescent="0.3">
      <c r="A61" t="s">
        <v>6</v>
      </c>
      <c r="B61" t="s">
        <v>32</v>
      </c>
      <c r="C61" t="str">
        <f t="shared" si="0"/>
        <v>2022</v>
      </c>
      <c r="D61" t="s">
        <v>43</v>
      </c>
      <c r="E61">
        <v>1085</v>
      </c>
      <c r="F61">
        <f t="shared" si="1"/>
        <v>108500000</v>
      </c>
      <c r="G61">
        <v>13.9</v>
      </c>
      <c r="H61">
        <v>91.5</v>
      </c>
    </row>
    <row r="62" spans="1:8" x14ac:dyDescent="0.3">
      <c r="A62" t="s">
        <v>6</v>
      </c>
      <c r="B62" t="s">
        <v>33</v>
      </c>
      <c r="C62" t="str">
        <f t="shared" si="0"/>
        <v>2022</v>
      </c>
      <c r="D62" t="s">
        <v>43</v>
      </c>
      <c r="E62">
        <v>2678</v>
      </c>
      <c r="F62">
        <f t="shared" si="1"/>
        <v>267800000</v>
      </c>
      <c r="G62">
        <v>0.9</v>
      </c>
      <c r="H62">
        <v>99.3</v>
      </c>
    </row>
    <row r="63" spans="1:8" x14ac:dyDescent="0.3">
      <c r="A63" t="s">
        <v>6</v>
      </c>
      <c r="B63" t="s">
        <v>34</v>
      </c>
      <c r="C63" t="str">
        <f t="shared" si="0"/>
        <v>2022</v>
      </c>
      <c r="D63" t="s">
        <v>43</v>
      </c>
      <c r="E63">
        <v>7308</v>
      </c>
      <c r="F63">
        <f t="shared" si="1"/>
        <v>730800000</v>
      </c>
      <c r="G63">
        <v>0.2</v>
      </c>
      <c r="H63">
        <v>98.8</v>
      </c>
    </row>
    <row r="64" spans="1:8" x14ac:dyDescent="0.3">
      <c r="A64" t="s">
        <v>6</v>
      </c>
      <c r="B64" t="s">
        <v>35</v>
      </c>
      <c r="C64" t="str">
        <f t="shared" si="0"/>
        <v>2022</v>
      </c>
      <c r="D64" t="s">
        <v>43</v>
      </c>
      <c r="E64">
        <v>504</v>
      </c>
      <c r="F64">
        <f t="shared" si="1"/>
        <v>50400000</v>
      </c>
      <c r="G64">
        <v>4</v>
      </c>
      <c r="H64">
        <v>87.8</v>
      </c>
    </row>
    <row r="65" spans="1:8" x14ac:dyDescent="0.3">
      <c r="A65" t="s">
        <v>6</v>
      </c>
      <c r="B65" t="s">
        <v>36</v>
      </c>
      <c r="C65" t="str">
        <f t="shared" si="0"/>
        <v>2022</v>
      </c>
      <c r="D65" t="s">
        <v>43</v>
      </c>
      <c r="E65">
        <v>11478</v>
      </c>
      <c r="F65">
        <f t="shared" si="1"/>
        <v>1147800000</v>
      </c>
      <c r="G65">
        <v>2.6</v>
      </c>
      <c r="H65">
        <v>99.4</v>
      </c>
    </row>
    <row r="66" spans="1:8" x14ac:dyDescent="0.3">
      <c r="A66" t="s">
        <v>6</v>
      </c>
      <c r="B66" t="s">
        <v>37</v>
      </c>
      <c r="C66" t="str">
        <f t="shared" si="0"/>
        <v>2022</v>
      </c>
      <c r="D66" t="s">
        <v>43</v>
      </c>
      <c r="E66">
        <v>8034</v>
      </c>
      <c r="F66">
        <f t="shared" si="1"/>
        <v>803400000</v>
      </c>
      <c r="G66">
        <v>0.1</v>
      </c>
      <c r="H66">
        <v>98.7</v>
      </c>
    </row>
    <row r="67" spans="1:8" x14ac:dyDescent="0.3">
      <c r="A67" t="s">
        <v>6</v>
      </c>
      <c r="B67" t="s">
        <v>38</v>
      </c>
      <c r="C67" t="str">
        <f t="shared" ref="C67:C130" si="2">RIGHT(D67,4)</f>
        <v>2022</v>
      </c>
      <c r="D67" t="s">
        <v>43</v>
      </c>
      <c r="E67">
        <v>945</v>
      </c>
      <c r="F67">
        <f t="shared" ref="F67:F130" si="3">E67*100000</f>
        <v>94500000</v>
      </c>
      <c r="G67">
        <v>2.9</v>
      </c>
      <c r="H67">
        <v>68.099999999999994</v>
      </c>
    </row>
    <row r="68" spans="1:8" x14ac:dyDescent="0.3">
      <c r="A68" t="s">
        <v>6</v>
      </c>
      <c r="B68" t="s">
        <v>39</v>
      </c>
      <c r="C68" t="str">
        <f t="shared" si="2"/>
        <v>2022</v>
      </c>
      <c r="D68" t="s">
        <v>43</v>
      </c>
      <c r="E68">
        <v>2231</v>
      </c>
      <c r="F68">
        <f t="shared" si="3"/>
        <v>223100000</v>
      </c>
      <c r="G68">
        <v>7.2</v>
      </c>
      <c r="H68">
        <v>74.900000000000006</v>
      </c>
    </row>
    <row r="69" spans="1:8" x14ac:dyDescent="0.3">
      <c r="A69" t="s">
        <v>6</v>
      </c>
      <c r="B69" t="s">
        <v>40</v>
      </c>
      <c r="C69" t="str">
        <f t="shared" si="2"/>
        <v>2022</v>
      </c>
      <c r="D69" t="s">
        <v>43</v>
      </c>
      <c r="E69">
        <v>6076</v>
      </c>
      <c r="F69">
        <f t="shared" si="3"/>
        <v>607600000</v>
      </c>
      <c r="G69">
        <v>3.9</v>
      </c>
      <c r="H69">
        <v>97.3</v>
      </c>
    </row>
    <row r="70" spans="1:8" x14ac:dyDescent="0.3">
      <c r="A70" t="s">
        <v>6</v>
      </c>
      <c r="B70" t="s">
        <v>41</v>
      </c>
      <c r="C70" t="str">
        <f t="shared" si="2"/>
        <v>2022</v>
      </c>
      <c r="D70" t="s">
        <v>43</v>
      </c>
      <c r="E70">
        <v>1336</v>
      </c>
      <c r="F70">
        <f t="shared" si="3"/>
        <v>133600000</v>
      </c>
      <c r="G70">
        <v>4.9000000000000004</v>
      </c>
      <c r="H70">
        <v>96.1</v>
      </c>
    </row>
    <row r="71" spans="1:8" x14ac:dyDescent="0.3">
      <c r="A71" t="s">
        <v>6</v>
      </c>
      <c r="B71" t="s">
        <v>42</v>
      </c>
      <c r="C71" t="str">
        <f t="shared" si="2"/>
        <v>2022</v>
      </c>
      <c r="D71" t="s">
        <v>43</v>
      </c>
      <c r="E71">
        <v>15021</v>
      </c>
      <c r="F71">
        <f t="shared" si="3"/>
        <v>1502100000</v>
      </c>
      <c r="G71">
        <v>5</v>
      </c>
      <c r="H71">
        <v>89.2</v>
      </c>
    </row>
    <row r="72" spans="1:8" x14ac:dyDescent="0.3">
      <c r="A72" t="s">
        <v>6</v>
      </c>
      <c r="B72" t="s">
        <v>7</v>
      </c>
      <c r="C72" t="str">
        <f t="shared" si="2"/>
        <v>2021</v>
      </c>
      <c r="D72" t="s">
        <v>44</v>
      </c>
      <c r="E72">
        <v>281</v>
      </c>
      <c r="F72">
        <f t="shared" si="3"/>
        <v>28100000</v>
      </c>
      <c r="G72">
        <v>38.700000000000003</v>
      </c>
      <c r="H72">
        <v>58.2</v>
      </c>
    </row>
    <row r="73" spans="1:8" x14ac:dyDescent="0.3">
      <c r="A73" t="s">
        <v>6</v>
      </c>
      <c r="B73" t="s">
        <v>9</v>
      </c>
      <c r="C73" t="str">
        <f t="shared" si="2"/>
        <v>2021</v>
      </c>
      <c r="D73" t="s">
        <v>44</v>
      </c>
      <c r="E73">
        <v>18557</v>
      </c>
      <c r="F73">
        <f t="shared" si="3"/>
        <v>1855700000</v>
      </c>
      <c r="G73">
        <v>1.5</v>
      </c>
      <c r="H73">
        <v>99.4</v>
      </c>
    </row>
    <row r="74" spans="1:8" x14ac:dyDescent="0.3">
      <c r="A74" t="s">
        <v>6</v>
      </c>
      <c r="B74" t="s">
        <v>10</v>
      </c>
      <c r="C74" t="str">
        <f t="shared" si="2"/>
        <v>2021</v>
      </c>
      <c r="D74" t="s">
        <v>44</v>
      </c>
      <c r="E74">
        <v>-3876</v>
      </c>
      <c r="F74">
        <f t="shared" si="3"/>
        <v>-387600000</v>
      </c>
      <c r="G74">
        <v>50.8</v>
      </c>
      <c r="H74">
        <v>10.9</v>
      </c>
    </row>
    <row r="75" spans="1:8" x14ac:dyDescent="0.3">
      <c r="A75" t="s">
        <v>6</v>
      </c>
      <c r="B75" t="s">
        <v>11</v>
      </c>
      <c r="C75" t="str">
        <f t="shared" si="2"/>
        <v>2021</v>
      </c>
      <c r="D75" t="s">
        <v>44</v>
      </c>
      <c r="E75">
        <v>1151</v>
      </c>
      <c r="F75">
        <f t="shared" si="3"/>
        <v>115100000</v>
      </c>
      <c r="G75">
        <v>8.4</v>
      </c>
      <c r="H75">
        <v>63.4</v>
      </c>
    </row>
    <row r="76" spans="1:8" x14ac:dyDescent="0.3">
      <c r="A76" t="s">
        <v>6</v>
      </c>
      <c r="B76" t="s">
        <v>12</v>
      </c>
      <c r="C76" t="str">
        <f t="shared" si="2"/>
        <v>2021</v>
      </c>
      <c r="D76" t="s">
        <v>44</v>
      </c>
      <c r="E76">
        <v>7797</v>
      </c>
      <c r="F76">
        <f t="shared" si="3"/>
        <v>779700000</v>
      </c>
      <c r="G76">
        <v>2.2999999999999998</v>
      </c>
      <c r="H76">
        <v>65.400000000000006</v>
      </c>
    </row>
    <row r="77" spans="1:8" x14ac:dyDescent="0.3">
      <c r="A77" t="s">
        <v>6</v>
      </c>
      <c r="B77" t="s">
        <v>13</v>
      </c>
      <c r="C77" t="str">
        <f t="shared" si="2"/>
        <v>2021</v>
      </c>
      <c r="D77" t="s">
        <v>44</v>
      </c>
      <c r="E77">
        <v>138</v>
      </c>
      <c r="F77">
        <f t="shared" si="3"/>
        <v>13800000</v>
      </c>
      <c r="G77">
        <v>4.3</v>
      </c>
      <c r="H77">
        <v>77.5</v>
      </c>
    </row>
    <row r="78" spans="1:8" x14ac:dyDescent="0.3">
      <c r="A78" t="s">
        <v>6</v>
      </c>
      <c r="B78" t="s">
        <v>14</v>
      </c>
      <c r="C78" t="str">
        <f t="shared" si="2"/>
        <v>2021</v>
      </c>
      <c r="D78" t="s">
        <v>44</v>
      </c>
      <c r="E78">
        <v>3181</v>
      </c>
      <c r="F78">
        <f t="shared" si="3"/>
        <v>318100000</v>
      </c>
      <c r="G78">
        <v>2.1</v>
      </c>
      <c r="H78">
        <v>86.2</v>
      </c>
    </row>
    <row r="79" spans="1:8" x14ac:dyDescent="0.3">
      <c r="A79" t="s">
        <v>6</v>
      </c>
      <c r="B79" t="s">
        <v>15</v>
      </c>
      <c r="C79" t="str">
        <f t="shared" si="2"/>
        <v>2021</v>
      </c>
      <c r="D79" t="s">
        <v>44</v>
      </c>
      <c r="E79">
        <v>1969</v>
      </c>
      <c r="F79">
        <f t="shared" si="3"/>
        <v>196900000</v>
      </c>
      <c r="G79">
        <v>1.3</v>
      </c>
      <c r="H79">
        <v>97.6</v>
      </c>
    </row>
    <row r="80" spans="1:8" x14ac:dyDescent="0.3">
      <c r="A80" t="s">
        <v>6</v>
      </c>
      <c r="B80" t="s">
        <v>16</v>
      </c>
      <c r="C80" t="str">
        <f t="shared" si="2"/>
        <v>2021</v>
      </c>
      <c r="D80" t="s">
        <v>44</v>
      </c>
      <c r="E80">
        <v>796</v>
      </c>
      <c r="F80">
        <f t="shared" si="3"/>
        <v>79600000</v>
      </c>
      <c r="G80">
        <v>11.4</v>
      </c>
      <c r="H80">
        <v>80.900000000000006</v>
      </c>
    </row>
    <row r="81" spans="1:8" x14ac:dyDescent="0.3">
      <c r="A81" t="s">
        <v>6</v>
      </c>
      <c r="B81" t="s">
        <v>17</v>
      </c>
      <c r="C81" t="str">
        <f t="shared" si="2"/>
        <v>2021</v>
      </c>
      <c r="D81" t="s">
        <v>44</v>
      </c>
      <c r="E81">
        <v>10517</v>
      </c>
      <c r="F81">
        <f t="shared" si="3"/>
        <v>1051700000</v>
      </c>
      <c r="G81">
        <v>1</v>
      </c>
      <c r="H81">
        <v>96.8</v>
      </c>
    </row>
    <row r="82" spans="1:8" x14ac:dyDescent="0.3">
      <c r="A82" t="s">
        <v>6</v>
      </c>
      <c r="B82" t="s">
        <v>18</v>
      </c>
      <c r="C82" t="str">
        <f t="shared" si="2"/>
        <v>2021</v>
      </c>
      <c r="D82" t="s">
        <v>44</v>
      </c>
      <c r="E82">
        <v>6784</v>
      </c>
      <c r="F82">
        <f t="shared" si="3"/>
        <v>678400000</v>
      </c>
      <c r="G82">
        <v>0.1</v>
      </c>
      <c r="H82">
        <v>100</v>
      </c>
    </row>
    <row r="83" spans="1:8" x14ac:dyDescent="0.3">
      <c r="A83" t="s">
        <v>6</v>
      </c>
      <c r="B83" t="s">
        <v>19</v>
      </c>
      <c r="C83" t="str">
        <f t="shared" si="2"/>
        <v>2021</v>
      </c>
      <c r="D83" t="s">
        <v>44</v>
      </c>
      <c r="E83">
        <v>12162</v>
      </c>
      <c r="F83">
        <f t="shared" si="3"/>
        <v>1216200000</v>
      </c>
      <c r="G83">
        <v>8.9</v>
      </c>
      <c r="H83">
        <v>57.4</v>
      </c>
    </row>
    <row r="84" spans="1:8" x14ac:dyDescent="0.3">
      <c r="A84" t="s">
        <v>6</v>
      </c>
      <c r="B84" t="s">
        <v>20</v>
      </c>
      <c r="C84" t="str">
        <f t="shared" si="2"/>
        <v>2021</v>
      </c>
      <c r="D84" t="s">
        <v>44</v>
      </c>
      <c r="E84">
        <v>-1040.726979</v>
      </c>
      <c r="F84">
        <f t="shared" si="3"/>
        <v>-104072697.90000001</v>
      </c>
      <c r="G84">
        <v>52.5</v>
      </c>
      <c r="H84">
        <v>13.7</v>
      </c>
    </row>
    <row r="85" spans="1:8" x14ac:dyDescent="0.3">
      <c r="A85" t="s">
        <v>6</v>
      </c>
      <c r="B85" t="s">
        <v>21</v>
      </c>
      <c r="C85" t="str">
        <f t="shared" si="2"/>
        <v>2021</v>
      </c>
      <c r="D85" t="s">
        <v>44</v>
      </c>
      <c r="E85">
        <v>2049</v>
      </c>
      <c r="F85">
        <f t="shared" si="3"/>
        <v>204900000</v>
      </c>
      <c r="G85">
        <v>18.5</v>
      </c>
      <c r="H85">
        <v>50.7</v>
      </c>
    </row>
    <row r="86" spans="1:8" x14ac:dyDescent="0.3">
      <c r="A86" t="s">
        <v>6</v>
      </c>
      <c r="B86" t="s">
        <v>22</v>
      </c>
      <c r="C86" t="str">
        <f t="shared" si="2"/>
        <v>2021</v>
      </c>
      <c r="D86" t="s">
        <v>44</v>
      </c>
      <c r="E86">
        <v>9000</v>
      </c>
      <c r="F86">
        <f t="shared" si="3"/>
        <v>900000000</v>
      </c>
      <c r="G86">
        <v>3.9</v>
      </c>
      <c r="H86">
        <v>97.9</v>
      </c>
    </row>
    <row r="87" spans="1:8" x14ac:dyDescent="0.3">
      <c r="A87" t="s">
        <v>6</v>
      </c>
      <c r="B87" t="s">
        <v>23</v>
      </c>
      <c r="C87" t="str">
        <f t="shared" si="2"/>
        <v>2021</v>
      </c>
      <c r="D87" t="s">
        <v>44</v>
      </c>
      <c r="E87">
        <v>7724</v>
      </c>
      <c r="F87">
        <f t="shared" si="3"/>
        <v>772400000</v>
      </c>
      <c r="G87">
        <v>13.3</v>
      </c>
      <c r="H87">
        <v>81.099999999999994</v>
      </c>
    </row>
    <row r="88" spans="1:8" x14ac:dyDescent="0.3">
      <c r="A88" t="s">
        <v>6</v>
      </c>
      <c r="B88" t="s">
        <v>24</v>
      </c>
      <c r="C88" t="str">
        <f t="shared" si="2"/>
        <v>2021</v>
      </c>
      <c r="D88" t="s">
        <v>44</v>
      </c>
      <c r="E88">
        <v>-23.27302091</v>
      </c>
      <c r="F88">
        <f t="shared" si="3"/>
        <v>-2327302.091</v>
      </c>
      <c r="G88">
        <v>52.5</v>
      </c>
      <c r="H88">
        <v>13.7</v>
      </c>
    </row>
    <row r="89" spans="1:8" x14ac:dyDescent="0.3">
      <c r="A89" t="s">
        <v>6</v>
      </c>
      <c r="B89" t="s">
        <v>25</v>
      </c>
      <c r="C89" t="str">
        <f t="shared" si="2"/>
        <v>2021</v>
      </c>
      <c r="D89" t="s">
        <v>44</v>
      </c>
      <c r="E89">
        <v>2306</v>
      </c>
      <c r="F89">
        <f t="shared" si="3"/>
        <v>230600000</v>
      </c>
      <c r="G89">
        <v>4.7</v>
      </c>
      <c r="H89">
        <v>92.3</v>
      </c>
    </row>
    <row r="90" spans="1:8" x14ac:dyDescent="0.3">
      <c r="A90" t="s">
        <v>6</v>
      </c>
      <c r="B90" t="s">
        <v>26</v>
      </c>
      <c r="C90" t="str">
        <f t="shared" si="2"/>
        <v>2021</v>
      </c>
      <c r="D90" t="s">
        <v>44</v>
      </c>
      <c r="E90">
        <v>68457</v>
      </c>
      <c r="F90">
        <f t="shared" si="3"/>
        <v>6845700000</v>
      </c>
      <c r="G90">
        <v>11</v>
      </c>
      <c r="H90">
        <v>83.6</v>
      </c>
    </row>
    <row r="91" spans="1:8" x14ac:dyDescent="0.3">
      <c r="A91" t="s">
        <v>6</v>
      </c>
      <c r="B91" t="s">
        <v>27</v>
      </c>
      <c r="C91" t="str">
        <f t="shared" si="2"/>
        <v>2021</v>
      </c>
      <c r="D91" t="s">
        <v>44</v>
      </c>
      <c r="E91">
        <v>459</v>
      </c>
      <c r="F91">
        <f t="shared" si="3"/>
        <v>45900000</v>
      </c>
      <c r="G91">
        <v>31.2</v>
      </c>
      <c r="H91">
        <v>50.7</v>
      </c>
    </row>
    <row r="92" spans="1:8" x14ac:dyDescent="0.3">
      <c r="A92" t="s">
        <v>6</v>
      </c>
      <c r="B92" t="s">
        <v>28</v>
      </c>
      <c r="C92" t="str">
        <f t="shared" si="2"/>
        <v>2021</v>
      </c>
      <c r="D92" t="s">
        <v>44</v>
      </c>
      <c r="E92">
        <v>1328</v>
      </c>
      <c r="F92">
        <f t="shared" si="3"/>
        <v>132800000</v>
      </c>
      <c r="G92">
        <v>7.3</v>
      </c>
      <c r="H92">
        <v>24.5</v>
      </c>
    </row>
    <row r="93" spans="1:8" x14ac:dyDescent="0.3">
      <c r="A93" t="s">
        <v>6</v>
      </c>
      <c r="B93" t="s">
        <v>29</v>
      </c>
      <c r="C93" t="str">
        <f t="shared" si="2"/>
        <v>2021</v>
      </c>
      <c r="D93" t="s">
        <v>44</v>
      </c>
      <c r="E93">
        <v>2842</v>
      </c>
      <c r="F93">
        <f t="shared" si="3"/>
        <v>284200000</v>
      </c>
      <c r="G93">
        <v>3.5</v>
      </c>
      <c r="H93">
        <v>68.5</v>
      </c>
    </row>
    <row r="94" spans="1:8" x14ac:dyDescent="0.3">
      <c r="A94" t="s">
        <v>6</v>
      </c>
      <c r="B94" t="s">
        <v>30</v>
      </c>
      <c r="C94" t="str">
        <f t="shared" si="2"/>
        <v>2021</v>
      </c>
      <c r="D94" t="s">
        <v>44</v>
      </c>
      <c r="E94">
        <v>775</v>
      </c>
      <c r="F94">
        <f t="shared" si="3"/>
        <v>77500000</v>
      </c>
      <c r="G94">
        <v>15.4</v>
      </c>
      <c r="H94">
        <v>58</v>
      </c>
    </row>
    <row r="95" spans="1:8" x14ac:dyDescent="0.3">
      <c r="A95" t="s">
        <v>6</v>
      </c>
      <c r="B95" t="s">
        <v>31</v>
      </c>
      <c r="C95" t="str">
        <f t="shared" si="2"/>
        <v>2021</v>
      </c>
      <c r="D95" t="s">
        <v>44</v>
      </c>
      <c r="E95">
        <v>14313</v>
      </c>
      <c r="F95">
        <f t="shared" si="3"/>
        <v>1431300000</v>
      </c>
      <c r="G95">
        <v>1.1000000000000001</v>
      </c>
      <c r="H95">
        <v>95.9</v>
      </c>
    </row>
    <row r="96" spans="1:8" x14ac:dyDescent="0.3">
      <c r="A96" t="s">
        <v>6</v>
      </c>
      <c r="B96" t="s">
        <v>32</v>
      </c>
      <c r="C96" t="str">
        <f t="shared" si="2"/>
        <v>2021</v>
      </c>
      <c r="D96" t="s">
        <v>44</v>
      </c>
      <c r="E96">
        <v>-85</v>
      </c>
      <c r="F96">
        <f t="shared" si="3"/>
        <v>-8500000</v>
      </c>
      <c r="G96">
        <v>15.6</v>
      </c>
      <c r="H96">
        <v>78</v>
      </c>
    </row>
    <row r="97" spans="1:8" x14ac:dyDescent="0.3">
      <c r="A97" t="s">
        <v>6</v>
      </c>
      <c r="B97" t="s">
        <v>33</v>
      </c>
      <c r="C97" t="str">
        <f t="shared" si="2"/>
        <v>2021</v>
      </c>
      <c r="D97" t="s">
        <v>44</v>
      </c>
      <c r="E97">
        <v>2951</v>
      </c>
      <c r="F97">
        <f t="shared" si="3"/>
        <v>295100000</v>
      </c>
      <c r="G97">
        <v>1</v>
      </c>
      <c r="H97">
        <v>99.3</v>
      </c>
    </row>
    <row r="98" spans="1:8" x14ac:dyDescent="0.3">
      <c r="A98" t="s">
        <v>6</v>
      </c>
      <c r="B98" t="s">
        <v>34</v>
      </c>
      <c r="C98" t="str">
        <f t="shared" si="2"/>
        <v>2021</v>
      </c>
      <c r="D98" t="s">
        <v>44</v>
      </c>
      <c r="E98">
        <v>7087</v>
      </c>
      <c r="F98">
        <f t="shared" si="3"/>
        <v>708700000</v>
      </c>
      <c r="G98">
        <v>0.2</v>
      </c>
      <c r="H98">
        <v>99.3</v>
      </c>
    </row>
    <row r="99" spans="1:8" x14ac:dyDescent="0.3">
      <c r="A99" t="s">
        <v>6</v>
      </c>
      <c r="B99" t="s">
        <v>35</v>
      </c>
      <c r="C99" t="str">
        <f t="shared" si="2"/>
        <v>2021</v>
      </c>
      <c r="D99" t="s">
        <v>44</v>
      </c>
      <c r="E99">
        <v>1335</v>
      </c>
      <c r="F99">
        <f t="shared" si="3"/>
        <v>133500000</v>
      </c>
      <c r="G99">
        <v>4</v>
      </c>
      <c r="H99">
        <v>19.600000000000001</v>
      </c>
    </row>
    <row r="100" spans="1:8" x14ac:dyDescent="0.3">
      <c r="A100" t="s">
        <v>6</v>
      </c>
      <c r="B100" t="s">
        <v>36</v>
      </c>
      <c r="C100" t="str">
        <f t="shared" si="2"/>
        <v>2021</v>
      </c>
      <c r="D100" t="s">
        <v>44</v>
      </c>
      <c r="E100">
        <v>23131</v>
      </c>
      <c r="F100">
        <f t="shared" si="3"/>
        <v>2313100000</v>
      </c>
      <c r="G100">
        <v>2.8</v>
      </c>
      <c r="H100">
        <v>99.5</v>
      </c>
    </row>
    <row r="101" spans="1:8" x14ac:dyDescent="0.3">
      <c r="A101" t="s">
        <v>6</v>
      </c>
      <c r="B101" t="s">
        <v>37</v>
      </c>
      <c r="C101" t="str">
        <f t="shared" si="2"/>
        <v>2021</v>
      </c>
      <c r="D101" t="s">
        <v>44</v>
      </c>
      <c r="E101">
        <v>7328</v>
      </c>
      <c r="F101">
        <f t="shared" si="3"/>
        <v>732800000</v>
      </c>
      <c r="G101">
        <v>0.1</v>
      </c>
      <c r="H101">
        <v>98.3</v>
      </c>
    </row>
    <row r="102" spans="1:8" x14ac:dyDescent="0.3">
      <c r="A102" t="s">
        <v>6</v>
      </c>
      <c r="B102" t="s">
        <v>38</v>
      </c>
      <c r="C102" t="str">
        <f t="shared" si="2"/>
        <v>2021</v>
      </c>
      <c r="D102" t="s">
        <v>44</v>
      </c>
      <c r="E102">
        <v>733</v>
      </c>
      <c r="F102">
        <f t="shared" si="3"/>
        <v>73300000</v>
      </c>
      <c r="G102">
        <v>5.8</v>
      </c>
      <c r="H102">
        <v>68.099999999999994</v>
      </c>
    </row>
    <row r="103" spans="1:8" x14ac:dyDescent="0.3">
      <c r="A103" t="s">
        <v>6</v>
      </c>
      <c r="B103" t="s">
        <v>39</v>
      </c>
      <c r="C103" t="str">
        <f t="shared" si="2"/>
        <v>2021</v>
      </c>
      <c r="D103" t="s">
        <v>44</v>
      </c>
      <c r="E103">
        <v>2073</v>
      </c>
      <c r="F103">
        <f t="shared" si="3"/>
        <v>207300000</v>
      </c>
      <c r="G103">
        <v>5</v>
      </c>
      <c r="H103">
        <v>74.900000000000006</v>
      </c>
    </row>
    <row r="104" spans="1:8" x14ac:dyDescent="0.3">
      <c r="A104" t="s">
        <v>6</v>
      </c>
      <c r="B104" t="s">
        <v>40</v>
      </c>
      <c r="C104" t="str">
        <f t="shared" si="2"/>
        <v>2021</v>
      </c>
      <c r="D104" t="s">
        <v>44</v>
      </c>
      <c r="E104">
        <v>5070</v>
      </c>
      <c r="F104">
        <f t="shared" si="3"/>
        <v>507000000</v>
      </c>
      <c r="G104">
        <v>4.5</v>
      </c>
      <c r="H104">
        <v>88</v>
      </c>
    </row>
    <row r="105" spans="1:8" x14ac:dyDescent="0.3">
      <c r="A105" t="s">
        <v>6</v>
      </c>
      <c r="B105" t="s">
        <v>41</v>
      </c>
      <c r="C105" t="str">
        <f t="shared" si="2"/>
        <v>2021</v>
      </c>
      <c r="D105" t="s">
        <v>44</v>
      </c>
      <c r="E105">
        <v>1433</v>
      </c>
      <c r="F105">
        <f t="shared" si="3"/>
        <v>143300000</v>
      </c>
      <c r="G105">
        <v>7.3</v>
      </c>
      <c r="H105">
        <v>97.2</v>
      </c>
    </row>
    <row r="106" spans="1:8" x14ac:dyDescent="0.3">
      <c r="A106" t="s">
        <v>6</v>
      </c>
      <c r="B106" t="s">
        <v>42</v>
      </c>
      <c r="C106" t="str">
        <f t="shared" si="2"/>
        <v>2021</v>
      </c>
      <c r="D106" t="s">
        <v>44</v>
      </c>
      <c r="E106">
        <v>10080</v>
      </c>
      <c r="F106">
        <f t="shared" si="3"/>
        <v>1008000000</v>
      </c>
      <c r="G106">
        <v>4.7</v>
      </c>
      <c r="H106">
        <v>89.5</v>
      </c>
    </row>
    <row r="107" spans="1:8" x14ac:dyDescent="0.3">
      <c r="A107" t="s">
        <v>6</v>
      </c>
      <c r="B107" t="s">
        <v>7</v>
      </c>
      <c r="C107" t="str">
        <f t="shared" si="2"/>
        <v>2020</v>
      </c>
      <c r="D107" t="s">
        <v>45</v>
      </c>
      <c r="E107">
        <v>720</v>
      </c>
      <c r="F107">
        <f t="shared" si="3"/>
        <v>72000000</v>
      </c>
      <c r="G107">
        <v>39.700000000000003</v>
      </c>
      <c r="H107">
        <v>43</v>
      </c>
    </row>
    <row r="108" spans="1:8" x14ac:dyDescent="0.3">
      <c r="A108" t="s">
        <v>6</v>
      </c>
      <c r="B108" t="s">
        <v>9</v>
      </c>
      <c r="C108" t="str">
        <f t="shared" si="2"/>
        <v>2020</v>
      </c>
      <c r="D108" t="s">
        <v>45</v>
      </c>
      <c r="E108">
        <v>14768</v>
      </c>
      <c r="F108">
        <f t="shared" si="3"/>
        <v>1476800000</v>
      </c>
      <c r="G108">
        <v>0.9</v>
      </c>
      <c r="H108">
        <v>99.7</v>
      </c>
    </row>
    <row r="109" spans="1:8" x14ac:dyDescent="0.3">
      <c r="A109" t="s">
        <v>6</v>
      </c>
      <c r="B109" t="s">
        <v>10</v>
      </c>
      <c r="C109" t="str">
        <f t="shared" si="2"/>
        <v>2020</v>
      </c>
      <c r="D109" t="s">
        <v>45</v>
      </c>
      <c r="E109">
        <v>-2006</v>
      </c>
      <c r="F109">
        <f t="shared" si="3"/>
        <v>-200600000</v>
      </c>
      <c r="G109">
        <v>48.5</v>
      </c>
      <c r="H109">
        <v>9.1</v>
      </c>
    </row>
    <row r="110" spans="1:8" x14ac:dyDescent="0.3">
      <c r="A110" t="s">
        <v>6</v>
      </c>
      <c r="B110" t="s">
        <v>11</v>
      </c>
      <c r="C110" t="str">
        <f t="shared" si="2"/>
        <v>2020</v>
      </c>
      <c r="D110" t="s">
        <v>45</v>
      </c>
      <c r="E110">
        <v>1045</v>
      </c>
      <c r="F110">
        <f t="shared" si="3"/>
        <v>104500000</v>
      </c>
      <c r="G110">
        <v>7.4</v>
      </c>
      <c r="H110">
        <v>67.8</v>
      </c>
    </row>
    <row r="111" spans="1:8" x14ac:dyDescent="0.3">
      <c r="A111" t="s">
        <v>6</v>
      </c>
      <c r="B111" t="s">
        <v>12</v>
      </c>
      <c r="C111" t="str">
        <f t="shared" si="2"/>
        <v>2020</v>
      </c>
      <c r="D111" t="s">
        <v>45</v>
      </c>
      <c r="E111">
        <v>7677</v>
      </c>
      <c r="F111">
        <f t="shared" si="3"/>
        <v>767700000</v>
      </c>
      <c r="G111">
        <v>1.9</v>
      </c>
      <c r="H111">
        <v>54.9</v>
      </c>
    </row>
    <row r="112" spans="1:8" x14ac:dyDescent="0.3">
      <c r="A112" t="s">
        <v>6</v>
      </c>
      <c r="B112" t="s">
        <v>13</v>
      </c>
      <c r="C112" t="str">
        <f t="shared" si="2"/>
        <v>2020</v>
      </c>
      <c r="D112" t="s">
        <v>45</v>
      </c>
      <c r="E112">
        <v>259</v>
      </c>
      <c r="F112">
        <f t="shared" si="3"/>
        <v>25900000</v>
      </c>
      <c r="G112">
        <v>6.8</v>
      </c>
      <c r="H112">
        <v>74.5</v>
      </c>
    </row>
    <row r="113" spans="1:8" x14ac:dyDescent="0.3">
      <c r="A113" t="s">
        <v>6</v>
      </c>
      <c r="B113" t="s">
        <v>14</v>
      </c>
      <c r="C113" t="str">
        <f t="shared" si="2"/>
        <v>2020</v>
      </c>
      <c r="D113" t="s">
        <v>45</v>
      </c>
      <c r="E113">
        <v>2712</v>
      </c>
      <c r="F113">
        <f t="shared" si="3"/>
        <v>271200000</v>
      </c>
      <c r="G113">
        <v>2.9</v>
      </c>
      <c r="H113">
        <v>83.5</v>
      </c>
    </row>
    <row r="114" spans="1:8" x14ac:dyDescent="0.3">
      <c r="A114" t="s">
        <v>6</v>
      </c>
      <c r="B114" t="s">
        <v>15</v>
      </c>
      <c r="C114" t="str">
        <f t="shared" si="2"/>
        <v>2020</v>
      </c>
      <c r="D114" t="s">
        <v>45</v>
      </c>
      <c r="E114">
        <v>2653</v>
      </c>
      <c r="F114">
        <f t="shared" si="3"/>
        <v>265300000</v>
      </c>
      <c r="G114">
        <v>1.3</v>
      </c>
      <c r="H114">
        <v>97.7</v>
      </c>
    </row>
    <row r="115" spans="1:8" x14ac:dyDescent="0.3">
      <c r="A115" t="s">
        <v>6</v>
      </c>
      <c r="B115" t="s">
        <v>16</v>
      </c>
      <c r="C115" t="str">
        <f t="shared" si="2"/>
        <v>2020</v>
      </c>
      <c r="D115" t="s">
        <v>45</v>
      </c>
      <c r="E115">
        <v>1124</v>
      </c>
      <c r="F115">
        <f t="shared" si="3"/>
        <v>112400000</v>
      </c>
      <c r="G115">
        <v>11.2</v>
      </c>
      <c r="H115">
        <v>82.9</v>
      </c>
    </row>
    <row r="116" spans="1:8" x14ac:dyDescent="0.3">
      <c r="A116" t="s">
        <v>6</v>
      </c>
      <c r="B116" t="s">
        <v>17</v>
      </c>
      <c r="C116" t="str">
        <f t="shared" si="2"/>
        <v>2020</v>
      </c>
      <c r="D116" t="s">
        <v>45</v>
      </c>
      <c r="E116">
        <v>5441</v>
      </c>
      <c r="F116">
        <f t="shared" si="3"/>
        <v>544100000</v>
      </c>
      <c r="G116">
        <v>1.5</v>
      </c>
      <c r="H116">
        <v>96.8</v>
      </c>
    </row>
    <row r="117" spans="1:8" x14ac:dyDescent="0.3">
      <c r="A117" t="s">
        <v>6</v>
      </c>
      <c r="B117" t="s">
        <v>18</v>
      </c>
      <c r="C117" t="str">
        <f t="shared" si="2"/>
        <v>2020</v>
      </c>
      <c r="D117" t="s">
        <v>45</v>
      </c>
      <c r="E117">
        <v>6136</v>
      </c>
      <c r="F117">
        <f t="shared" si="3"/>
        <v>613600000</v>
      </c>
      <c r="G117">
        <v>0.1</v>
      </c>
      <c r="H117">
        <v>100</v>
      </c>
    </row>
    <row r="118" spans="1:8" x14ac:dyDescent="0.3">
      <c r="A118" t="s">
        <v>6</v>
      </c>
      <c r="B118" t="s">
        <v>19</v>
      </c>
      <c r="C118" t="str">
        <f t="shared" si="2"/>
        <v>2020</v>
      </c>
      <c r="D118" t="s">
        <v>45</v>
      </c>
      <c r="E118">
        <v>7934</v>
      </c>
      <c r="F118">
        <f t="shared" si="3"/>
        <v>793400000</v>
      </c>
      <c r="G118">
        <v>9</v>
      </c>
      <c r="H118">
        <v>38.799999999999997</v>
      </c>
    </row>
    <row r="119" spans="1:8" x14ac:dyDescent="0.3">
      <c r="A119" t="s">
        <v>6</v>
      </c>
      <c r="B119" t="s">
        <v>20</v>
      </c>
      <c r="C119" t="str">
        <f t="shared" si="2"/>
        <v>2020</v>
      </c>
      <c r="D119" t="s">
        <v>45</v>
      </c>
      <c r="E119">
        <v>-24209.617910000001</v>
      </c>
      <c r="F119">
        <f t="shared" si="3"/>
        <v>-2420961791</v>
      </c>
      <c r="G119">
        <v>50.1</v>
      </c>
      <c r="H119">
        <v>73.400000000000006</v>
      </c>
    </row>
    <row r="120" spans="1:8" x14ac:dyDescent="0.3">
      <c r="A120" t="s">
        <v>6</v>
      </c>
      <c r="B120" t="s">
        <v>21</v>
      </c>
      <c r="C120" t="str">
        <f t="shared" si="2"/>
        <v>2020</v>
      </c>
      <c r="D120" t="s">
        <v>45</v>
      </c>
      <c r="E120">
        <v>518</v>
      </c>
      <c r="F120">
        <f t="shared" si="3"/>
        <v>51800000</v>
      </c>
      <c r="G120">
        <v>38.9</v>
      </c>
      <c r="H120">
        <v>76.2</v>
      </c>
    </row>
    <row r="121" spans="1:8" x14ac:dyDescent="0.3">
      <c r="A121" t="s">
        <v>6</v>
      </c>
      <c r="B121" t="s">
        <v>22</v>
      </c>
      <c r="C121" t="str">
        <f t="shared" si="2"/>
        <v>2020</v>
      </c>
      <c r="D121" t="s">
        <v>45</v>
      </c>
      <c r="E121">
        <v>6000</v>
      </c>
      <c r="F121">
        <f t="shared" si="3"/>
        <v>600000000</v>
      </c>
      <c r="G121">
        <v>4.5</v>
      </c>
      <c r="H121">
        <v>95.1</v>
      </c>
    </row>
    <row r="122" spans="1:8" x14ac:dyDescent="0.3">
      <c r="A122" t="s">
        <v>6</v>
      </c>
      <c r="B122" t="s">
        <v>23</v>
      </c>
      <c r="C122" t="str">
        <f t="shared" si="2"/>
        <v>2020</v>
      </c>
      <c r="D122" t="s">
        <v>45</v>
      </c>
      <c r="E122">
        <v>6199</v>
      </c>
      <c r="F122">
        <f t="shared" si="3"/>
        <v>619900000</v>
      </c>
      <c r="G122">
        <v>14.5</v>
      </c>
      <c r="H122">
        <v>85.6</v>
      </c>
    </row>
    <row r="123" spans="1:8" x14ac:dyDescent="0.3">
      <c r="A123" t="s">
        <v>6</v>
      </c>
      <c r="B123" t="s">
        <v>24</v>
      </c>
      <c r="C123" t="str">
        <f t="shared" si="2"/>
        <v>2020</v>
      </c>
      <c r="D123" t="s">
        <v>45</v>
      </c>
      <c r="E123">
        <v>-541.38208689999999</v>
      </c>
      <c r="F123">
        <f t="shared" si="3"/>
        <v>-54138208.689999998</v>
      </c>
      <c r="G123">
        <v>50.1</v>
      </c>
      <c r="H123">
        <v>73.400000000000006</v>
      </c>
    </row>
    <row r="124" spans="1:8" x14ac:dyDescent="0.3">
      <c r="A124" t="s">
        <v>6</v>
      </c>
      <c r="B124" t="s">
        <v>25</v>
      </c>
      <c r="C124" t="str">
        <f t="shared" si="2"/>
        <v>2020</v>
      </c>
      <c r="D124" t="s">
        <v>45</v>
      </c>
      <c r="E124">
        <v>7387</v>
      </c>
      <c r="F124">
        <f t="shared" si="3"/>
        <v>738700000</v>
      </c>
      <c r="G124">
        <v>5.2</v>
      </c>
      <c r="H124">
        <v>92.1</v>
      </c>
    </row>
    <row r="125" spans="1:8" x14ac:dyDescent="0.3">
      <c r="A125" t="s">
        <v>6</v>
      </c>
      <c r="B125" t="s">
        <v>26</v>
      </c>
      <c r="C125" t="str">
        <f t="shared" si="2"/>
        <v>2020</v>
      </c>
      <c r="D125" t="s">
        <v>45</v>
      </c>
      <c r="E125">
        <v>36441</v>
      </c>
      <c r="F125">
        <f t="shared" si="3"/>
        <v>3644100000</v>
      </c>
      <c r="G125">
        <v>11.6</v>
      </c>
      <c r="H125">
        <v>82.1</v>
      </c>
    </row>
    <row r="126" spans="1:8" x14ac:dyDescent="0.3">
      <c r="A126" t="s">
        <v>6</v>
      </c>
      <c r="B126" t="s">
        <v>27</v>
      </c>
      <c r="C126" t="str">
        <f t="shared" si="2"/>
        <v>2020</v>
      </c>
      <c r="D126" t="s">
        <v>45</v>
      </c>
      <c r="E126">
        <v>201</v>
      </c>
      <c r="F126">
        <f t="shared" si="3"/>
        <v>20100000</v>
      </c>
      <c r="G126">
        <v>35.299999999999997</v>
      </c>
      <c r="H126">
        <v>45.4</v>
      </c>
    </row>
    <row r="127" spans="1:8" x14ac:dyDescent="0.3">
      <c r="A127" t="s">
        <v>6</v>
      </c>
      <c r="B127" t="s">
        <v>28</v>
      </c>
      <c r="C127" t="str">
        <f t="shared" si="2"/>
        <v>2020</v>
      </c>
      <c r="D127" t="s">
        <v>45</v>
      </c>
      <c r="E127">
        <v>1204</v>
      </c>
      <c r="F127">
        <f t="shared" si="3"/>
        <v>120400000</v>
      </c>
      <c r="G127">
        <v>7.2</v>
      </c>
      <c r="H127">
        <v>22.1</v>
      </c>
    </row>
    <row r="128" spans="1:8" x14ac:dyDescent="0.3">
      <c r="A128" t="s">
        <v>6</v>
      </c>
      <c r="B128" t="s">
        <v>29</v>
      </c>
      <c r="C128" t="str">
        <f t="shared" si="2"/>
        <v>2020</v>
      </c>
      <c r="D128" t="s">
        <v>45</v>
      </c>
      <c r="E128">
        <v>2032</v>
      </c>
      <c r="F128">
        <f t="shared" si="3"/>
        <v>203200000</v>
      </c>
      <c r="G128">
        <v>4.4000000000000004</v>
      </c>
      <c r="H128">
        <v>60.6</v>
      </c>
    </row>
    <row r="129" spans="1:8" x14ac:dyDescent="0.3">
      <c r="A129" t="s">
        <v>6</v>
      </c>
      <c r="B129" t="s">
        <v>30</v>
      </c>
      <c r="C129" t="str">
        <f t="shared" si="2"/>
        <v>2020</v>
      </c>
      <c r="D129" t="s">
        <v>45</v>
      </c>
      <c r="E129">
        <v>816</v>
      </c>
      <c r="F129">
        <f t="shared" si="3"/>
        <v>81600000</v>
      </c>
      <c r="G129">
        <v>14.6</v>
      </c>
      <c r="H129">
        <v>58.4</v>
      </c>
    </row>
    <row r="130" spans="1:8" x14ac:dyDescent="0.3">
      <c r="A130" t="s">
        <v>6</v>
      </c>
      <c r="B130" t="s">
        <v>31</v>
      </c>
      <c r="C130" t="str">
        <f t="shared" si="2"/>
        <v>2020</v>
      </c>
      <c r="D130" t="s">
        <v>45</v>
      </c>
      <c r="E130">
        <v>6850</v>
      </c>
      <c r="F130">
        <f t="shared" si="3"/>
        <v>685000000</v>
      </c>
      <c r="G130">
        <v>1.3</v>
      </c>
      <c r="H130">
        <v>98.4</v>
      </c>
    </row>
    <row r="131" spans="1:8" x14ac:dyDescent="0.3">
      <c r="A131" t="s">
        <v>6</v>
      </c>
      <c r="B131" t="s">
        <v>32</v>
      </c>
      <c r="C131" t="str">
        <f t="shared" ref="C131:C194" si="4">RIGHT(D131,4)</f>
        <v>2020</v>
      </c>
      <c r="D131" t="s">
        <v>45</v>
      </c>
      <c r="E131">
        <v>567</v>
      </c>
      <c r="F131">
        <f t="shared" ref="F131:F194" si="5">E131*100000</f>
        <v>56700000</v>
      </c>
      <c r="G131">
        <v>17.100000000000001</v>
      </c>
      <c r="H131">
        <v>85.7</v>
      </c>
    </row>
    <row r="132" spans="1:8" x14ac:dyDescent="0.3">
      <c r="A132" t="s">
        <v>6</v>
      </c>
      <c r="B132" t="s">
        <v>33</v>
      </c>
      <c r="C132" t="str">
        <f t="shared" si="4"/>
        <v>2020</v>
      </c>
      <c r="D132" t="s">
        <v>45</v>
      </c>
      <c r="E132">
        <v>2463</v>
      </c>
      <c r="F132">
        <f t="shared" si="5"/>
        <v>246300000</v>
      </c>
      <c r="G132">
        <v>1</v>
      </c>
      <c r="H132">
        <v>99.4</v>
      </c>
    </row>
    <row r="133" spans="1:8" x14ac:dyDescent="0.3">
      <c r="A133" t="s">
        <v>6</v>
      </c>
      <c r="B133" t="s">
        <v>34</v>
      </c>
      <c r="C133" t="str">
        <f t="shared" si="4"/>
        <v>2020</v>
      </c>
      <c r="D133" t="s">
        <v>45</v>
      </c>
      <c r="E133">
        <v>6581</v>
      </c>
      <c r="F133">
        <f t="shared" si="5"/>
        <v>658100000</v>
      </c>
      <c r="G133">
        <v>0.2</v>
      </c>
      <c r="H133">
        <v>98.9</v>
      </c>
    </row>
    <row r="134" spans="1:8" x14ac:dyDescent="0.3">
      <c r="A134" t="s">
        <v>6</v>
      </c>
      <c r="B134" t="s">
        <v>35</v>
      </c>
      <c r="C134" t="str">
        <f t="shared" si="4"/>
        <v>2020</v>
      </c>
      <c r="D134" t="s">
        <v>45</v>
      </c>
      <c r="E134">
        <v>764</v>
      </c>
      <c r="F134">
        <f t="shared" si="5"/>
        <v>76400000</v>
      </c>
      <c r="G134">
        <v>3.8</v>
      </c>
      <c r="H134">
        <v>17.3</v>
      </c>
    </row>
    <row r="135" spans="1:8" x14ac:dyDescent="0.3">
      <c r="A135" t="s">
        <v>6</v>
      </c>
      <c r="B135" t="s">
        <v>36</v>
      </c>
      <c r="C135" t="str">
        <f t="shared" si="4"/>
        <v>2020</v>
      </c>
      <c r="D135" t="s">
        <v>45</v>
      </c>
      <c r="E135">
        <v>14795</v>
      </c>
      <c r="F135">
        <f t="shared" si="5"/>
        <v>1479500000</v>
      </c>
      <c r="G135">
        <v>4.0999999999999996</v>
      </c>
      <c r="H135">
        <v>99.4</v>
      </c>
    </row>
    <row r="136" spans="1:8" x14ac:dyDescent="0.3">
      <c r="A136" t="s">
        <v>6</v>
      </c>
      <c r="B136" t="s">
        <v>37</v>
      </c>
      <c r="C136" t="str">
        <f t="shared" si="4"/>
        <v>2020</v>
      </c>
      <c r="D136" t="s">
        <v>45</v>
      </c>
      <c r="E136">
        <v>4634</v>
      </c>
      <c r="F136">
        <f t="shared" si="5"/>
        <v>463400000</v>
      </c>
      <c r="G136">
        <v>0.1</v>
      </c>
      <c r="H136">
        <v>98</v>
      </c>
    </row>
    <row r="137" spans="1:8" x14ac:dyDescent="0.3">
      <c r="A137" t="s">
        <v>6</v>
      </c>
      <c r="B137" t="s">
        <v>38</v>
      </c>
      <c r="C137" t="str">
        <f t="shared" si="4"/>
        <v>2020</v>
      </c>
      <c r="D137" t="s">
        <v>45</v>
      </c>
      <c r="E137">
        <v>1222</v>
      </c>
      <c r="F137">
        <f t="shared" si="5"/>
        <v>122200000</v>
      </c>
      <c r="G137">
        <v>5.9</v>
      </c>
      <c r="H137">
        <v>84.9</v>
      </c>
    </row>
    <row r="138" spans="1:8" x14ac:dyDescent="0.3">
      <c r="A138" t="s">
        <v>6</v>
      </c>
      <c r="B138" t="s">
        <v>39</v>
      </c>
      <c r="C138" t="str">
        <f t="shared" si="4"/>
        <v>2020</v>
      </c>
      <c r="D138" t="s">
        <v>45</v>
      </c>
      <c r="E138">
        <v>1967</v>
      </c>
      <c r="F138">
        <f t="shared" si="5"/>
        <v>196700000</v>
      </c>
      <c r="G138">
        <v>4.8</v>
      </c>
      <c r="H138">
        <v>95.4</v>
      </c>
    </row>
    <row r="139" spans="1:8" x14ac:dyDescent="0.3">
      <c r="A139" t="s">
        <v>6</v>
      </c>
      <c r="B139" t="s">
        <v>40</v>
      </c>
      <c r="C139" t="str">
        <f t="shared" si="4"/>
        <v>2020</v>
      </c>
      <c r="D139" t="s">
        <v>45</v>
      </c>
      <c r="E139">
        <v>4547</v>
      </c>
      <c r="F139">
        <f t="shared" si="5"/>
        <v>454700000</v>
      </c>
      <c r="G139">
        <v>5.4</v>
      </c>
      <c r="H139">
        <v>85.3</v>
      </c>
    </row>
    <row r="140" spans="1:8" x14ac:dyDescent="0.3">
      <c r="A140" t="s">
        <v>6</v>
      </c>
      <c r="B140" t="s">
        <v>41</v>
      </c>
      <c r="C140" t="str">
        <f t="shared" si="4"/>
        <v>2020</v>
      </c>
      <c r="D140" t="s">
        <v>45</v>
      </c>
      <c r="E140">
        <v>1095</v>
      </c>
      <c r="F140">
        <f t="shared" si="5"/>
        <v>109500000</v>
      </c>
      <c r="G140">
        <v>7.6</v>
      </c>
      <c r="H140">
        <v>96.9</v>
      </c>
    </row>
    <row r="141" spans="1:8" x14ac:dyDescent="0.3">
      <c r="A141" t="s">
        <v>6</v>
      </c>
      <c r="B141" t="s">
        <v>42</v>
      </c>
      <c r="C141" t="str">
        <f t="shared" si="4"/>
        <v>2020</v>
      </c>
      <c r="D141" t="s">
        <v>45</v>
      </c>
      <c r="E141">
        <v>10184</v>
      </c>
      <c r="F141">
        <f t="shared" si="5"/>
        <v>1018400000</v>
      </c>
      <c r="G141">
        <v>4.0999999999999996</v>
      </c>
      <c r="H141">
        <v>91.3</v>
      </c>
    </row>
    <row r="142" spans="1:8" x14ac:dyDescent="0.3">
      <c r="A142" t="s">
        <v>6</v>
      </c>
      <c r="B142" t="s">
        <v>7</v>
      </c>
      <c r="C142" t="str">
        <f t="shared" si="4"/>
        <v>2019</v>
      </c>
      <c r="D142" t="s">
        <v>46</v>
      </c>
      <c r="E142">
        <v>367</v>
      </c>
      <c r="F142">
        <f t="shared" si="5"/>
        <v>36700000</v>
      </c>
      <c r="G142">
        <v>48.1</v>
      </c>
      <c r="H142">
        <v>38.4</v>
      </c>
    </row>
    <row r="143" spans="1:8" x14ac:dyDescent="0.3">
      <c r="A143" t="s">
        <v>6</v>
      </c>
      <c r="B143" t="s">
        <v>9</v>
      </c>
      <c r="C143" t="str">
        <f t="shared" si="4"/>
        <v>2019</v>
      </c>
      <c r="D143" t="s">
        <v>46</v>
      </c>
      <c r="E143">
        <v>9991</v>
      </c>
      <c r="F143">
        <f t="shared" si="5"/>
        <v>999100000</v>
      </c>
      <c r="G143">
        <v>1.2</v>
      </c>
      <c r="H143">
        <v>99.7</v>
      </c>
    </row>
    <row r="144" spans="1:8" x14ac:dyDescent="0.3">
      <c r="A144" t="s">
        <v>6</v>
      </c>
      <c r="B144" t="s">
        <v>10</v>
      </c>
      <c r="C144" t="str">
        <f t="shared" si="4"/>
        <v>2019</v>
      </c>
      <c r="D144" t="s">
        <v>46</v>
      </c>
      <c r="E144">
        <v>-1550</v>
      </c>
      <c r="F144">
        <f t="shared" si="5"/>
        <v>-155000000</v>
      </c>
      <c r="G144">
        <v>54.2</v>
      </c>
      <c r="H144">
        <v>1.8</v>
      </c>
    </row>
    <row r="145" spans="1:8" x14ac:dyDescent="0.3">
      <c r="A145" t="s">
        <v>6</v>
      </c>
      <c r="B145" t="s">
        <v>11</v>
      </c>
      <c r="C145" t="str">
        <f t="shared" si="4"/>
        <v>2019</v>
      </c>
      <c r="D145" t="s">
        <v>46</v>
      </c>
      <c r="E145">
        <v>736</v>
      </c>
      <c r="F145">
        <f t="shared" si="5"/>
        <v>73600000</v>
      </c>
      <c r="G145">
        <v>6.8</v>
      </c>
      <c r="H145">
        <v>25.9</v>
      </c>
    </row>
    <row r="146" spans="1:8" x14ac:dyDescent="0.3">
      <c r="A146" t="s">
        <v>6</v>
      </c>
      <c r="B146" t="s">
        <v>12</v>
      </c>
      <c r="C146" t="str">
        <f t="shared" si="4"/>
        <v>2019</v>
      </c>
      <c r="D146" t="s">
        <v>46</v>
      </c>
      <c r="E146">
        <v>4885</v>
      </c>
      <c r="F146">
        <f t="shared" si="5"/>
        <v>488500000</v>
      </c>
      <c r="G146">
        <v>4.9000000000000004</v>
      </c>
      <c r="H146">
        <v>77.7</v>
      </c>
    </row>
    <row r="147" spans="1:8" x14ac:dyDescent="0.3">
      <c r="A147" t="s">
        <v>6</v>
      </c>
      <c r="B147" t="s">
        <v>13</v>
      </c>
      <c r="C147" t="str">
        <f t="shared" si="4"/>
        <v>2019</v>
      </c>
      <c r="D147" t="s">
        <v>46</v>
      </c>
      <c r="E147">
        <v>341</v>
      </c>
      <c r="F147">
        <f t="shared" si="5"/>
        <v>34100000</v>
      </c>
      <c r="G147">
        <v>6.2</v>
      </c>
      <c r="H147">
        <v>80.7</v>
      </c>
    </row>
    <row r="148" spans="1:8" x14ac:dyDescent="0.3">
      <c r="A148" t="s">
        <v>6</v>
      </c>
      <c r="B148" t="s">
        <v>14</v>
      </c>
      <c r="C148" t="str">
        <f t="shared" si="4"/>
        <v>2019</v>
      </c>
      <c r="D148" t="s">
        <v>46</v>
      </c>
      <c r="E148">
        <v>2576</v>
      </c>
      <c r="F148">
        <f t="shared" si="5"/>
        <v>257600000</v>
      </c>
      <c r="G148">
        <v>3</v>
      </c>
      <c r="H148">
        <v>93.9</v>
      </c>
    </row>
    <row r="149" spans="1:8" x14ac:dyDescent="0.3">
      <c r="A149" t="s">
        <v>6</v>
      </c>
      <c r="B149" t="s">
        <v>15</v>
      </c>
      <c r="C149" t="str">
        <f t="shared" si="4"/>
        <v>2019</v>
      </c>
      <c r="D149" t="s">
        <v>46</v>
      </c>
      <c r="E149">
        <v>2072</v>
      </c>
      <c r="F149">
        <f t="shared" si="5"/>
        <v>207200000</v>
      </c>
      <c r="G149">
        <v>1.4</v>
      </c>
      <c r="H149">
        <v>97</v>
      </c>
    </row>
    <row r="150" spans="1:8" x14ac:dyDescent="0.3">
      <c r="A150" t="s">
        <v>6</v>
      </c>
      <c r="B150" t="s">
        <v>16</v>
      </c>
      <c r="C150" t="str">
        <f t="shared" si="4"/>
        <v>2019</v>
      </c>
      <c r="D150" t="s">
        <v>46</v>
      </c>
      <c r="E150">
        <v>4442</v>
      </c>
      <c r="F150">
        <f t="shared" si="5"/>
        <v>444200000</v>
      </c>
      <c r="G150">
        <v>10.4</v>
      </c>
      <c r="H150">
        <v>85.9</v>
      </c>
    </row>
    <row r="151" spans="1:8" x14ac:dyDescent="0.3">
      <c r="A151" t="s">
        <v>6</v>
      </c>
      <c r="B151" t="s">
        <v>17</v>
      </c>
      <c r="C151" t="str">
        <f t="shared" si="4"/>
        <v>2019</v>
      </c>
      <c r="D151" t="s">
        <v>46</v>
      </c>
      <c r="E151">
        <v>3173</v>
      </c>
      <c r="F151">
        <f t="shared" si="5"/>
        <v>317300000</v>
      </c>
      <c r="G151">
        <v>1.3</v>
      </c>
      <c r="H151">
        <v>94.8</v>
      </c>
    </row>
    <row r="152" spans="1:8" x14ac:dyDescent="0.3">
      <c r="A152" t="s">
        <v>6</v>
      </c>
      <c r="B152" t="s">
        <v>18</v>
      </c>
      <c r="C152" t="str">
        <f t="shared" si="4"/>
        <v>2019</v>
      </c>
      <c r="D152" t="s">
        <v>46</v>
      </c>
      <c r="E152">
        <v>5150</v>
      </c>
      <c r="F152">
        <f t="shared" si="5"/>
        <v>515000000</v>
      </c>
      <c r="G152">
        <v>0.1</v>
      </c>
      <c r="H152">
        <v>100</v>
      </c>
    </row>
    <row r="153" spans="1:8" x14ac:dyDescent="0.3">
      <c r="A153" t="s">
        <v>6</v>
      </c>
      <c r="B153" t="s">
        <v>19</v>
      </c>
      <c r="C153" t="str">
        <f t="shared" si="4"/>
        <v>2019</v>
      </c>
      <c r="D153" t="s">
        <v>46</v>
      </c>
      <c r="E153">
        <v>5049</v>
      </c>
      <c r="F153">
        <f t="shared" si="5"/>
        <v>504900000</v>
      </c>
      <c r="G153">
        <v>8</v>
      </c>
      <c r="H153">
        <v>51.2</v>
      </c>
    </row>
    <row r="154" spans="1:8" x14ac:dyDescent="0.3">
      <c r="A154" t="s">
        <v>6</v>
      </c>
      <c r="B154" t="s">
        <v>20</v>
      </c>
      <c r="C154" t="str">
        <f t="shared" si="4"/>
        <v>2019</v>
      </c>
      <c r="D154" t="s">
        <v>46</v>
      </c>
      <c r="E154">
        <v>1456.430895</v>
      </c>
      <c r="F154">
        <f t="shared" si="5"/>
        <v>145643089.5</v>
      </c>
      <c r="G154">
        <v>5.0999999999999996</v>
      </c>
      <c r="H154">
        <v>79.5</v>
      </c>
    </row>
    <row r="155" spans="1:8" x14ac:dyDescent="0.3">
      <c r="A155" t="s">
        <v>6</v>
      </c>
      <c r="B155" t="s">
        <v>21</v>
      </c>
      <c r="C155" t="str">
        <f t="shared" si="4"/>
        <v>2019</v>
      </c>
      <c r="D155" t="s">
        <v>46</v>
      </c>
      <c r="E155">
        <v>264</v>
      </c>
      <c r="F155">
        <f t="shared" si="5"/>
        <v>26400000</v>
      </c>
      <c r="G155">
        <v>51.6</v>
      </c>
      <c r="H155">
        <v>64.3</v>
      </c>
    </row>
    <row r="156" spans="1:8" x14ac:dyDescent="0.3">
      <c r="A156" t="s">
        <v>6</v>
      </c>
      <c r="B156" t="s">
        <v>22</v>
      </c>
      <c r="C156" t="str">
        <f t="shared" si="4"/>
        <v>2019</v>
      </c>
      <c r="D156" t="s">
        <v>46</v>
      </c>
      <c r="E156">
        <v>5100</v>
      </c>
      <c r="F156">
        <f t="shared" si="5"/>
        <v>510000000</v>
      </c>
      <c r="G156">
        <v>3.7</v>
      </c>
      <c r="H156">
        <v>97.2</v>
      </c>
    </row>
    <row r="157" spans="1:8" x14ac:dyDescent="0.3">
      <c r="A157" t="s">
        <v>6</v>
      </c>
      <c r="B157" t="s">
        <v>23</v>
      </c>
      <c r="C157" t="str">
        <f t="shared" si="4"/>
        <v>2019</v>
      </c>
      <c r="D157" t="s">
        <v>46</v>
      </c>
      <c r="E157">
        <v>37475</v>
      </c>
      <c r="F157">
        <f t="shared" si="5"/>
        <v>3747500000</v>
      </c>
      <c r="G157">
        <v>15.3</v>
      </c>
      <c r="H157">
        <v>98.4</v>
      </c>
    </row>
    <row r="158" spans="1:8" x14ac:dyDescent="0.3">
      <c r="A158" t="s">
        <v>6</v>
      </c>
      <c r="B158" t="s">
        <v>24</v>
      </c>
      <c r="C158" t="str">
        <f t="shared" si="4"/>
        <v>2019</v>
      </c>
      <c r="D158" t="s">
        <v>46</v>
      </c>
      <c r="E158">
        <v>32.569105389999997</v>
      </c>
      <c r="F158">
        <f t="shared" si="5"/>
        <v>3256910.5389999999</v>
      </c>
      <c r="G158">
        <v>5.0999999999999996</v>
      </c>
      <c r="H158">
        <v>79.5</v>
      </c>
    </row>
    <row r="159" spans="1:8" x14ac:dyDescent="0.3">
      <c r="A159" t="s">
        <v>6</v>
      </c>
      <c r="B159" t="s">
        <v>25</v>
      </c>
      <c r="C159" t="str">
        <f t="shared" si="4"/>
        <v>2019</v>
      </c>
      <c r="D159" t="s">
        <v>46</v>
      </c>
      <c r="E159">
        <v>12789</v>
      </c>
      <c r="F159">
        <f t="shared" si="5"/>
        <v>1278900000</v>
      </c>
      <c r="G159">
        <v>5.4</v>
      </c>
      <c r="H159">
        <v>92.9</v>
      </c>
    </row>
    <row r="160" spans="1:8" x14ac:dyDescent="0.3">
      <c r="A160" t="s">
        <v>6</v>
      </c>
      <c r="B160" t="s">
        <v>26</v>
      </c>
      <c r="C160" t="str">
        <f t="shared" si="4"/>
        <v>2019</v>
      </c>
      <c r="D160" t="s">
        <v>46</v>
      </c>
      <c r="E160">
        <v>32500</v>
      </c>
      <c r="F160">
        <f t="shared" si="5"/>
        <v>3250000000</v>
      </c>
      <c r="G160">
        <v>10.8</v>
      </c>
      <c r="H160">
        <v>79.3</v>
      </c>
    </row>
    <row r="161" spans="1:8" x14ac:dyDescent="0.3">
      <c r="A161" t="s">
        <v>6</v>
      </c>
      <c r="B161" t="s">
        <v>27</v>
      </c>
      <c r="C161" t="str">
        <f t="shared" si="4"/>
        <v>2019</v>
      </c>
      <c r="D161" t="s">
        <v>46</v>
      </c>
      <c r="E161">
        <v>200</v>
      </c>
      <c r="F161">
        <f t="shared" si="5"/>
        <v>20000000</v>
      </c>
      <c r="G161">
        <v>29.5</v>
      </c>
      <c r="H161">
        <v>44.7</v>
      </c>
    </row>
    <row r="162" spans="1:8" x14ac:dyDescent="0.3">
      <c r="A162" t="s">
        <v>6</v>
      </c>
      <c r="B162" t="s">
        <v>28</v>
      </c>
      <c r="C162" t="str">
        <f t="shared" si="4"/>
        <v>2019</v>
      </c>
      <c r="D162" t="s">
        <v>46</v>
      </c>
      <c r="E162">
        <v>1128</v>
      </c>
      <c r="F162">
        <f t="shared" si="5"/>
        <v>112800000</v>
      </c>
      <c r="G162">
        <v>7.4</v>
      </c>
      <c r="H162">
        <v>22.1</v>
      </c>
    </row>
    <row r="163" spans="1:8" x14ac:dyDescent="0.3">
      <c r="A163" t="s">
        <v>6</v>
      </c>
      <c r="B163" t="s">
        <v>29</v>
      </c>
      <c r="C163" t="str">
        <f t="shared" si="4"/>
        <v>2019</v>
      </c>
      <c r="D163" t="s">
        <v>46</v>
      </c>
      <c r="E163">
        <v>1262</v>
      </c>
      <c r="F163">
        <f t="shared" si="5"/>
        <v>126200000</v>
      </c>
      <c r="G163">
        <v>5.6</v>
      </c>
      <c r="H163">
        <v>67.8</v>
      </c>
    </row>
    <row r="164" spans="1:8" x14ac:dyDescent="0.3">
      <c r="A164" t="s">
        <v>6</v>
      </c>
      <c r="B164" t="s">
        <v>30</v>
      </c>
      <c r="C164" t="str">
        <f t="shared" si="4"/>
        <v>2019</v>
      </c>
      <c r="D164" t="s">
        <v>46</v>
      </c>
      <c r="E164">
        <v>1272</v>
      </c>
      <c r="F164">
        <f t="shared" si="5"/>
        <v>127200000</v>
      </c>
      <c r="G164">
        <v>13.7</v>
      </c>
      <c r="H164">
        <v>62</v>
      </c>
    </row>
    <row r="165" spans="1:8" x14ac:dyDescent="0.3">
      <c r="A165" t="s">
        <v>6</v>
      </c>
      <c r="B165" t="s">
        <v>31</v>
      </c>
      <c r="C165" t="str">
        <f t="shared" si="4"/>
        <v>2019</v>
      </c>
      <c r="D165" t="s">
        <v>46</v>
      </c>
      <c r="E165">
        <v>8181</v>
      </c>
      <c r="F165">
        <f t="shared" si="5"/>
        <v>818100000</v>
      </c>
      <c r="G165">
        <v>1.4</v>
      </c>
      <c r="H165">
        <v>98.3</v>
      </c>
    </row>
    <row r="166" spans="1:8" x14ac:dyDescent="0.3">
      <c r="A166" t="s">
        <v>6</v>
      </c>
      <c r="B166" t="s">
        <v>32</v>
      </c>
      <c r="C166" t="str">
        <f t="shared" si="4"/>
        <v>2019</v>
      </c>
      <c r="D166" t="s">
        <v>46</v>
      </c>
      <c r="E166">
        <v>2343</v>
      </c>
      <c r="F166">
        <f t="shared" si="5"/>
        <v>234300000</v>
      </c>
      <c r="G166">
        <v>16.3</v>
      </c>
      <c r="H166">
        <v>87.1</v>
      </c>
    </row>
    <row r="167" spans="1:8" x14ac:dyDescent="0.3">
      <c r="A167" t="s">
        <v>6</v>
      </c>
      <c r="B167" t="s">
        <v>33</v>
      </c>
      <c r="C167" t="str">
        <f t="shared" si="4"/>
        <v>2019</v>
      </c>
      <c r="D167" t="s">
        <v>46</v>
      </c>
      <c r="E167">
        <v>2269</v>
      </c>
      <c r="F167">
        <f t="shared" si="5"/>
        <v>226900000</v>
      </c>
      <c r="G167">
        <v>1</v>
      </c>
      <c r="H167">
        <v>99.6</v>
      </c>
    </row>
    <row r="168" spans="1:8" x14ac:dyDescent="0.3">
      <c r="A168" t="s">
        <v>6</v>
      </c>
      <c r="B168" t="s">
        <v>34</v>
      </c>
      <c r="C168" t="str">
        <f t="shared" si="4"/>
        <v>2019</v>
      </c>
      <c r="D168" t="s">
        <v>46</v>
      </c>
      <c r="E168">
        <v>5840</v>
      </c>
      <c r="F168">
        <f t="shared" si="5"/>
        <v>584000000</v>
      </c>
      <c r="G168">
        <v>0.2</v>
      </c>
      <c r="H168">
        <v>98.8</v>
      </c>
    </row>
    <row r="169" spans="1:8" x14ac:dyDescent="0.3">
      <c r="A169" t="s">
        <v>6</v>
      </c>
      <c r="B169" t="s">
        <v>35</v>
      </c>
      <c r="C169" t="str">
        <f t="shared" si="4"/>
        <v>2019</v>
      </c>
      <c r="D169" t="s">
        <v>46</v>
      </c>
      <c r="E169">
        <v>1132</v>
      </c>
      <c r="F169">
        <f t="shared" si="5"/>
        <v>113200000</v>
      </c>
      <c r="G169">
        <v>4.2</v>
      </c>
      <c r="H169">
        <v>38.9</v>
      </c>
    </row>
    <row r="170" spans="1:8" x14ac:dyDescent="0.3">
      <c r="A170" t="s">
        <v>6</v>
      </c>
      <c r="B170" t="s">
        <v>36</v>
      </c>
      <c r="C170" t="str">
        <f t="shared" si="4"/>
        <v>2019</v>
      </c>
      <c r="D170" t="s">
        <v>46</v>
      </c>
      <c r="E170">
        <v>9017</v>
      </c>
      <c r="F170">
        <f t="shared" si="5"/>
        <v>901700000</v>
      </c>
      <c r="G170">
        <v>2.7</v>
      </c>
      <c r="H170">
        <v>99.6</v>
      </c>
    </row>
    <row r="171" spans="1:8" x14ac:dyDescent="0.3">
      <c r="A171" t="s">
        <v>6</v>
      </c>
      <c r="B171" t="s">
        <v>37</v>
      </c>
      <c r="C171" t="str">
        <f t="shared" si="4"/>
        <v>2019</v>
      </c>
      <c r="D171" t="s">
        <v>46</v>
      </c>
      <c r="E171">
        <v>3226</v>
      </c>
      <c r="F171">
        <f t="shared" si="5"/>
        <v>322600000</v>
      </c>
      <c r="G171">
        <v>0.2</v>
      </c>
      <c r="H171">
        <v>98.6</v>
      </c>
    </row>
    <row r="172" spans="1:8" x14ac:dyDescent="0.3">
      <c r="A172" t="s">
        <v>6</v>
      </c>
      <c r="B172" t="s">
        <v>39</v>
      </c>
      <c r="C172" t="str">
        <f t="shared" si="4"/>
        <v>2019</v>
      </c>
      <c r="D172" t="s">
        <v>46</v>
      </c>
      <c r="E172">
        <v>1775</v>
      </c>
      <c r="F172">
        <f t="shared" si="5"/>
        <v>177500000</v>
      </c>
      <c r="G172">
        <v>3.8</v>
      </c>
      <c r="H172">
        <v>86.9</v>
      </c>
    </row>
    <row r="173" spans="1:8" x14ac:dyDescent="0.3">
      <c r="A173" t="s">
        <v>6</v>
      </c>
      <c r="B173" t="s">
        <v>40</v>
      </c>
      <c r="C173" t="str">
        <f t="shared" si="4"/>
        <v>2019</v>
      </c>
      <c r="D173" t="s">
        <v>46</v>
      </c>
      <c r="E173">
        <v>4328</v>
      </c>
      <c r="F173">
        <f t="shared" si="5"/>
        <v>432800000</v>
      </c>
      <c r="G173">
        <v>5.9</v>
      </c>
      <c r="H173">
        <v>83.3</v>
      </c>
    </row>
    <row r="174" spans="1:8" x14ac:dyDescent="0.3">
      <c r="A174" t="s">
        <v>6</v>
      </c>
      <c r="B174" t="s">
        <v>41</v>
      </c>
      <c r="C174" t="str">
        <f t="shared" si="4"/>
        <v>2019</v>
      </c>
      <c r="D174" t="s">
        <v>46</v>
      </c>
      <c r="E174">
        <v>225</v>
      </c>
      <c r="F174">
        <f t="shared" si="5"/>
        <v>22500000</v>
      </c>
      <c r="G174">
        <v>9.3000000000000007</v>
      </c>
      <c r="H174">
        <v>97.2</v>
      </c>
    </row>
    <row r="175" spans="1:8" x14ac:dyDescent="0.3">
      <c r="A175" t="s">
        <v>6</v>
      </c>
      <c r="B175" t="s">
        <v>42</v>
      </c>
      <c r="C175" t="str">
        <f t="shared" si="4"/>
        <v>2019</v>
      </c>
      <c r="D175" t="s">
        <v>46</v>
      </c>
      <c r="E175">
        <v>3354</v>
      </c>
      <c r="F175">
        <f t="shared" si="5"/>
        <v>335400000</v>
      </c>
      <c r="G175">
        <v>4.2</v>
      </c>
      <c r="H175">
        <v>91.6</v>
      </c>
    </row>
    <row r="176" spans="1:8" x14ac:dyDescent="0.3">
      <c r="A176" t="s">
        <v>6</v>
      </c>
      <c r="B176" t="s">
        <v>7</v>
      </c>
      <c r="C176" t="str">
        <f t="shared" si="4"/>
        <v>2018</v>
      </c>
      <c r="D176" t="s">
        <v>47</v>
      </c>
      <c r="E176">
        <v>1057</v>
      </c>
      <c r="F176">
        <f t="shared" si="5"/>
        <v>105700000</v>
      </c>
      <c r="G176">
        <v>16.7</v>
      </c>
      <c r="H176">
        <v>73</v>
      </c>
    </row>
    <row r="177" spans="1:8" x14ac:dyDescent="0.3">
      <c r="A177" t="s">
        <v>6</v>
      </c>
      <c r="B177" t="s">
        <v>9</v>
      </c>
      <c r="C177" t="str">
        <f t="shared" si="4"/>
        <v>2018</v>
      </c>
      <c r="D177" t="s">
        <v>47</v>
      </c>
      <c r="E177">
        <v>10041</v>
      </c>
      <c r="F177">
        <f t="shared" si="5"/>
        <v>1004100000</v>
      </c>
      <c r="G177">
        <v>1.3</v>
      </c>
      <c r="H177">
        <v>98.4</v>
      </c>
    </row>
    <row r="178" spans="1:8" x14ac:dyDescent="0.3">
      <c r="A178" t="s">
        <v>6</v>
      </c>
      <c r="B178" t="s">
        <v>10</v>
      </c>
      <c r="C178" t="str">
        <f t="shared" si="4"/>
        <v>2018</v>
      </c>
      <c r="D178" t="s">
        <v>47</v>
      </c>
      <c r="E178">
        <v>-39</v>
      </c>
      <c r="F178">
        <f t="shared" si="5"/>
        <v>-3900000</v>
      </c>
      <c r="G178">
        <v>49.3</v>
      </c>
      <c r="H178">
        <v>9.1</v>
      </c>
    </row>
    <row r="179" spans="1:8" x14ac:dyDescent="0.3">
      <c r="A179" t="s">
        <v>6</v>
      </c>
      <c r="B179" t="s">
        <v>11</v>
      </c>
      <c r="C179" t="str">
        <f t="shared" si="4"/>
        <v>2018</v>
      </c>
      <c r="D179" t="s">
        <v>47</v>
      </c>
      <c r="E179">
        <v>1141</v>
      </c>
      <c r="F179">
        <f t="shared" si="5"/>
        <v>114100000</v>
      </c>
      <c r="G179">
        <v>7.2</v>
      </c>
      <c r="H179">
        <v>62.4</v>
      </c>
    </row>
    <row r="180" spans="1:8" x14ac:dyDescent="0.3">
      <c r="A180" t="s">
        <v>6</v>
      </c>
      <c r="B180" t="s">
        <v>12</v>
      </c>
      <c r="C180" t="str">
        <f t="shared" si="4"/>
        <v>2018</v>
      </c>
      <c r="D180" t="s">
        <v>47</v>
      </c>
      <c r="E180">
        <v>4731</v>
      </c>
      <c r="F180">
        <f t="shared" si="5"/>
        <v>473100000</v>
      </c>
      <c r="G180">
        <v>4.8</v>
      </c>
      <c r="H180">
        <v>96</v>
      </c>
    </row>
    <row r="181" spans="1:8" x14ac:dyDescent="0.3">
      <c r="A181" t="s">
        <v>6</v>
      </c>
      <c r="B181" t="s">
        <v>13</v>
      </c>
      <c r="C181" t="str">
        <f t="shared" si="4"/>
        <v>2018</v>
      </c>
      <c r="D181" t="s">
        <v>47</v>
      </c>
      <c r="E181">
        <v>394</v>
      </c>
      <c r="F181">
        <f t="shared" si="5"/>
        <v>39400000</v>
      </c>
      <c r="G181">
        <v>5.7</v>
      </c>
      <c r="H181">
        <v>81.900000000000006</v>
      </c>
    </row>
    <row r="182" spans="1:8" x14ac:dyDescent="0.3">
      <c r="A182" t="s">
        <v>6</v>
      </c>
      <c r="B182" t="s">
        <v>14</v>
      </c>
      <c r="C182" t="str">
        <f t="shared" si="4"/>
        <v>2018</v>
      </c>
      <c r="D182" t="s">
        <v>47</v>
      </c>
      <c r="E182">
        <v>899</v>
      </c>
      <c r="F182">
        <f t="shared" si="5"/>
        <v>89900000</v>
      </c>
      <c r="G182">
        <v>3.2</v>
      </c>
      <c r="H182">
        <v>69.099999999999994</v>
      </c>
    </row>
    <row r="183" spans="1:8" x14ac:dyDescent="0.3">
      <c r="A183" t="s">
        <v>6</v>
      </c>
      <c r="B183" t="s">
        <v>15</v>
      </c>
      <c r="C183" t="str">
        <f t="shared" si="4"/>
        <v>2018</v>
      </c>
      <c r="D183" t="s">
        <v>47</v>
      </c>
      <c r="E183">
        <v>2225</v>
      </c>
      <c r="F183">
        <f t="shared" si="5"/>
        <v>222500000</v>
      </c>
      <c r="G183">
        <v>1.6</v>
      </c>
      <c r="H183">
        <v>85.8</v>
      </c>
    </row>
    <row r="184" spans="1:8" x14ac:dyDescent="0.3">
      <c r="A184" t="s">
        <v>6</v>
      </c>
      <c r="B184" t="s">
        <v>16</v>
      </c>
      <c r="C184" t="str">
        <f t="shared" si="4"/>
        <v>2018</v>
      </c>
      <c r="D184" t="s">
        <v>47</v>
      </c>
      <c r="E184">
        <v>3462</v>
      </c>
      <c r="F184">
        <f t="shared" si="5"/>
        <v>346200000</v>
      </c>
      <c r="G184">
        <v>8.6</v>
      </c>
      <c r="H184">
        <v>86.4</v>
      </c>
    </row>
    <row r="185" spans="1:8" x14ac:dyDescent="0.3">
      <c r="A185" t="s">
        <v>6</v>
      </c>
      <c r="B185" t="s">
        <v>17</v>
      </c>
      <c r="C185" t="str">
        <f t="shared" si="4"/>
        <v>2018</v>
      </c>
      <c r="D185" t="s">
        <v>47</v>
      </c>
      <c r="E185">
        <v>4294</v>
      </c>
      <c r="F185">
        <f t="shared" si="5"/>
        <v>429400000</v>
      </c>
      <c r="G185">
        <v>2</v>
      </c>
      <c r="H185">
        <v>96.7</v>
      </c>
    </row>
    <row r="186" spans="1:8" x14ac:dyDescent="0.3">
      <c r="A186" t="s">
        <v>6</v>
      </c>
      <c r="B186" t="s">
        <v>18</v>
      </c>
      <c r="C186" t="str">
        <f t="shared" si="4"/>
        <v>2018</v>
      </c>
      <c r="D186" t="s">
        <v>47</v>
      </c>
      <c r="E186">
        <v>3188</v>
      </c>
      <c r="F186">
        <f t="shared" si="5"/>
        <v>318800000</v>
      </c>
      <c r="G186">
        <v>0</v>
      </c>
      <c r="H186">
        <v>100</v>
      </c>
    </row>
    <row r="187" spans="1:8" x14ac:dyDescent="0.3">
      <c r="A187" t="s">
        <v>6</v>
      </c>
      <c r="B187" t="s">
        <v>19</v>
      </c>
      <c r="C187" t="str">
        <f t="shared" si="4"/>
        <v>2018</v>
      </c>
      <c r="D187" t="s">
        <v>47</v>
      </c>
      <c r="E187">
        <v>4109</v>
      </c>
      <c r="F187">
        <f t="shared" si="5"/>
        <v>410900000</v>
      </c>
      <c r="G187">
        <v>9.1999999999999993</v>
      </c>
      <c r="H187">
        <v>54.5</v>
      </c>
    </row>
    <row r="188" spans="1:8" x14ac:dyDescent="0.3">
      <c r="A188" t="s">
        <v>6</v>
      </c>
      <c r="B188" t="s">
        <v>20</v>
      </c>
      <c r="C188" t="str">
        <f t="shared" si="4"/>
        <v>2018</v>
      </c>
      <c r="D188" t="s">
        <v>47</v>
      </c>
      <c r="E188">
        <v>134.98150670000001</v>
      </c>
      <c r="F188">
        <f t="shared" si="5"/>
        <v>13498150.670000002</v>
      </c>
      <c r="G188">
        <v>4.4000000000000004</v>
      </c>
      <c r="H188">
        <v>34</v>
      </c>
    </row>
    <row r="189" spans="1:8" x14ac:dyDescent="0.3">
      <c r="A189" t="s">
        <v>6</v>
      </c>
      <c r="B189" t="s">
        <v>21</v>
      </c>
      <c r="C189" t="str">
        <f t="shared" si="4"/>
        <v>2018</v>
      </c>
      <c r="D189" t="s">
        <v>47</v>
      </c>
      <c r="E189">
        <v>-9673</v>
      </c>
      <c r="F189">
        <f t="shared" si="5"/>
        <v>-967300000</v>
      </c>
      <c r="G189">
        <v>52.4</v>
      </c>
      <c r="H189">
        <v>40.4</v>
      </c>
    </row>
    <row r="190" spans="1:8" x14ac:dyDescent="0.3">
      <c r="A190" t="s">
        <v>6</v>
      </c>
      <c r="B190" t="s">
        <v>22</v>
      </c>
      <c r="C190" t="str">
        <f t="shared" si="4"/>
        <v>2018</v>
      </c>
      <c r="D190" t="s">
        <v>47</v>
      </c>
      <c r="E190">
        <v>5000</v>
      </c>
      <c r="F190">
        <f t="shared" si="5"/>
        <v>500000000</v>
      </c>
      <c r="G190">
        <v>4.3</v>
      </c>
      <c r="H190">
        <v>98.3</v>
      </c>
    </row>
    <row r="191" spans="1:8" x14ac:dyDescent="0.3">
      <c r="A191" t="s">
        <v>6</v>
      </c>
      <c r="B191" t="s">
        <v>23</v>
      </c>
      <c r="C191" t="str">
        <f t="shared" si="4"/>
        <v>2018</v>
      </c>
      <c r="D191" t="s">
        <v>47</v>
      </c>
      <c r="E191">
        <v>22488</v>
      </c>
      <c r="F191">
        <f t="shared" si="5"/>
        <v>2248800000</v>
      </c>
      <c r="G191">
        <v>3.2</v>
      </c>
      <c r="H191">
        <v>96.2</v>
      </c>
    </row>
    <row r="192" spans="1:8" x14ac:dyDescent="0.3">
      <c r="A192" t="s">
        <v>6</v>
      </c>
      <c r="B192" t="s">
        <v>24</v>
      </c>
      <c r="C192" t="str">
        <f t="shared" si="4"/>
        <v>2018</v>
      </c>
      <c r="D192" t="s">
        <v>47</v>
      </c>
      <c r="E192">
        <v>3.018493313</v>
      </c>
      <c r="F192">
        <f t="shared" si="5"/>
        <v>301849.33130000002</v>
      </c>
      <c r="G192">
        <v>4.4000000000000004</v>
      </c>
      <c r="H192">
        <v>34</v>
      </c>
    </row>
    <row r="193" spans="1:8" x14ac:dyDescent="0.3">
      <c r="A193" t="s">
        <v>6</v>
      </c>
      <c r="B193" t="s">
        <v>25</v>
      </c>
      <c r="C193" t="str">
        <f t="shared" si="4"/>
        <v>2018</v>
      </c>
      <c r="D193" t="s">
        <v>47</v>
      </c>
      <c r="E193">
        <v>2124</v>
      </c>
      <c r="F193">
        <f t="shared" si="5"/>
        <v>212400000</v>
      </c>
      <c r="G193">
        <v>6.3</v>
      </c>
      <c r="H193">
        <v>92</v>
      </c>
    </row>
    <row r="194" spans="1:8" x14ac:dyDescent="0.3">
      <c r="A194" t="s">
        <v>6</v>
      </c>
      <c r="B194" t="s">
        <v>26</v>
      </c>
      <c r="C194" t="str">
        <f t="shared" si="4"/>
        <v>2018</v>
      </c>
      <c r="D194" t="s">
        <v>47</v>
      </c>
      <c r="E194">
        <v>25135</v>
      </c>
      <c r="F194">
        <f t="shared" si="5"/>
        <v>2513500000</v>
      </c>
      <c r="G194">
        <v>8.1</v>
      </c>
      <c r="H194">
        <v>82</v>
      </c>
    </row>
    <row r="195" spans="1:8" x14ac:dyDescent="0.3">
      <c r="A195" t="s">
        <v>6</v>
      </c>
      <c r="B195" t="s">
        <v>27</v>
      </c>
      <c r="C195" t="str">
        <f t="shared" ref="C195:C258" si="6">RIGHT(D195,4)</f>
        <v>2018</v>
      </c>
      <c r="D195" t="s">
        <v>47</v>
      </c>
      <c r="E195">
        <v>65</v>
      </c>
      <c r="F195">
        <f t="shared" ref="F195:F258" si="7">E195*100000</f>
        <v>6500000</v>
      </c>
      <c r="G195">
        <v>32.6</v>
      </c>
      <c r="H195">
        <v>6.1</v>
      </c>
    </row>
    <row r="196" spans="1:8" x14ac:dyDescent="0.3">
      <c r="A196" t="s">
        <v>6</v>
      </c>
      <c r="B196" t="s">
        <v>28</v>
      </c>
      <c r="C196" t="str">
        <f t="shared" si="6"/>
        <v>2018</v>
      </c>
      <c r="D196" t="s">
        <v>47</v>
      </c>
      <c r="E196">
        <v>1025</v>
      </c>
      <c r="F196">
        <f t="shared" si="7"/>
        <v>102500000</v>
      </c>
      <c r="G196">
        <v>8.6</v>
      </c>
      <c r="H196">
        <v>31.6</v>
      </c>
    </row>
    <row r="197" spans="1:8" x14ac:dyDescent="0.3">
      <c r="A197" t="s">
        <v>6</v>
      </c>
      <c r="B197" t="s">
        <v>29</v>
      </c>
      <c r="C197" t="str">
        <f t="shared" si="6"/>
        <v>2018</v>
      </c>
      <c r="D197" t="s">
        <v>47</v>
      </c>
      <c r="E197">
        <v>960</v>
      </c>
      <c r="F197">
        <f t="shared" si="7"/>
        <v>96000000</v>
      </c>
      <c r="G197">
        <v>8.8000000000000007</v>
      </c>
      <c r="H197">
        <v>40.6</v>
      </c>
    </row>
    <row r="198" spans="1:8" x14ac:dyDescent="0.3">
      <c r="A198" t="s">
        <v>6</v>
      </c>
      <c r="B198" t="s">
        <v>30</v>
      </c>
      <c r="C198" t="str">
        <f t="shared" si="6"/>
        <v>2018</v>
      </c>
      <c r="D198" t="s">
        <v>47</v>
      </c>
      <c r="E198">
        <v>915</v>
      </c>
      <c r="F198">
        <f t="shared" si="7"/>
        <v>91500000</v>
      </c>
      <c r="G198">
        <v>13.1</v>
      </c>
      <c r="H198">
        <v>57.3</v>
      </c>
    </row>
    <row r="199" spans="1:8" x14ac:dyDescent="0.3">
      <c r="A199" t="s">
        <v>6</v>
      </c>
      <c r="B199" t="s">
        <v>31</v>
      </c>
      <c r="C199" t="str">
        <f t="shared" si="6"/>
        <v>2018</v>
      </c>
      <c r="D199" t="s">
        <v>47</v>
      </c>
      <c r="E199">
        <v>9281</v>
      </c>
      <c r="F199">
        <f t="shared" si="7"/>
        <v>928100000</v>
      </c>
      <c r="G199">
        <v>1.6</v>
      </c>
      <c r="H199">
        <v>98.1</v>
      </c>
    </row>
    <row r="200" spans="1:8" x14ac:dyDescent="0.3">
      <c r="A200" t="s">
        <v>6</v>
      </c>
      <c r="B200" t="s">
        <v>32</v>
      </c>
      <c r="C200" t="str">
        <f t="shared" si="6"/>
        <v>2018</v>
      </c>
      <c r="D200" t="s">
        <v>47</v>
      </c>
      <c r="E200">
        <v>-4980</v>
      </c>
      <c r="F200">
        <f t="shared" si="7"/>
        <v>-498000000</v>
      </c>
      <c r="G200">
        <v>20.3</v>
      </c>
      <c r="H200">
        <v>87.1</v>
      </c>
    </row>
    <row r="201" spans="1:8" x14ac:dyDescent="0.3">
      <c r="A201" t="s">
        <v>6</v>
      </c>
      <c r="B201" t="s">
        <v>33</v>
      </c>
      <c r="C201" t="str">
        <f t="shared" si="6"/>
        <v>2018</v>
      </c>
      <c r="D201" t="s">
        <v>47</v>
      </c>
      <c r="E201">
        <v>1777</v>
      </c>
      <c r="F201">
        <f t="shared" si="7"/>
        <v>177700000</v>
      </c>
      <c r="G201">
        <v>1.1000000000000001</v>
      </c>
      <c r="H201">
        <v>99.6</v>
      </c>
    </row>
    <row r="202" spans="1:8" x14ac:dyDescent="0.3">
      <c r="A202" t="s">
        <v>6</v>
      </c>
      <c r="B202" t="s">
        <v>34</v>
      </c>
      <c r="C202" t="str">
        <f t="shared" si="6"/>
        <v>2018</v>
      </c>
      <c r="D202" t="s">
        <v>47</v>
      </c>
      <c r="E202">
        <v>5337</v>
      </c>
      <c r="F202">
        <f t="shared" si="7"/>
        <v>533700000</v>
      </c>
      <c r="G202">
        <v>0.2</v>
      </c>
      <c r="H202">
        <v>90.3</v>
      </c>
    </row>
    <row r="203" spans="1:8" x14ac:dyDescent="0.3">
      <c r="A203" t="s">
        <v>6</v>
      </c>
      <c r="B203" t="s">
        <v>35</v>
      </c>
      <c r="C203" t="str">
        <f t="shared" si="6"/>
        <v>2018</v>
      </c>
      <c r="D203" t="s">
        <v>47</v>
      </c>
      <c r="E203">
        <v>672</v>
      </c>
      <c r="F203">
        <f t="shared" si="7"/>
        <v>67200000</v>
      </c>
      <c r="G203">
        <v>3.5</v>
      </c>
      <c r="H203">
        <v>10.1</v>
      </c>
    </row>
    <row r="204" spans="1:8" x14ac:dyDescent="0.3">
      <c r="A204" t="s">
        <v>6</v>
      </c>
      <c r="B204" t="s">
        <v>36</v>
      </c>
      <c r="C204" t="str">
        <f t="shared" si="6"/>
        <v>2018</v>
      </c>
      <c r="D204" t="s">
        <v>47</v>
      </c>
      <c r="E204">
        <v>8605</v>
      </c>
      <c r="F204">
        <f t="shared" si="7"/>
        <v>860500000</v>
      </c>
      <c r="G204">
        <v>2.1</v>
      </c>
      <c r="H204">
        <v>99.7</v>
      </c>
    </row>
    <row r="205" spans="1:8" x14ac:dyDescent="0.3">
      <c r="A205" t="s">
        <v>6</v>
      </c>
      <c r="B205" t="s">
        <v>37</v>
      </c>
      <c r="C205" t="str">
        <f t="shared" si="6"/>
        <v>2018</v>
      </c>
      <c r="D205" t="s">
        <v>47</v>
      </c>
      <c r="E205">
        <v>4532</v>
      </c>
      <c r="F205">
        <f t="shared" si="7"/>
        <v>453200000</v>
      </c>
      <c r="G205">
        <v>0.2</v>
      </c>
      <c r="H205">
        <v>95.5</v>
      </c>
    </row>
    <row r="206" spans="1:8" x14ac:dyDescent="0.3">
      <c r="A206" t="s">
        <v>6</v>
      </c>
      <c r="B206" t="s">
        <v>39</v>
      </c>
      <c r="C206" t="str">
        <f t="shared" si="6"/>
        <v>2018</v>
      </c>
      <c r="D206" t="s">
        <v>47</v>
      </c>
      <c r="E206">
        <v>1559</v>
      </c>
      <c r="F206">
        <f t="shared" si="7"/>
        <v>155900000</v>
      </c>
      <c r="G206">
        <v>3.5</v>
      </c>
      <c r="H206">
        <v>81</v>
      </c>
    </row>
    <row r="207" spans="1:8" x14ac:dyDescent="0.3">
      <c r="A207" t="s">
        <v>6</v>
      </c>
      <c r="B207" t="s">
        <v>40</v>
      </c>
      <c r="C207" t="str">
        <f t="shared" si="6"/>
        <v>2018</v>
      </c>
      <c r="D207" t="s">
        <v>47</v>
      </c>
      <c r="E207">
        <v>4202</v>
      </c>
      <c r="F207">
        <f t="shared" si="7"/>
        <v>420200000</v>
      </c>
      <c r="G207">
        <v>8</v>
      </c>
      <c r="H207">
        <v>94.9</v>
      </c>
    </row>
    <row r="208" spans="1:8" x14ac:dyDescent="0.3">
      <c r="A208" t="s">
        <v>6</v>
      </c>
      <c r="B208" t="s">
        <v>41</v>
      </c>
      <c r="C208" t="str">
        <f t="shared" si="6"/>
        <v>2018</v>
      </c>
      <c r="D208" t="s">
        <v>47</v>
      </c>
      <c r="E208">
        <v>1309</v>
      </c>
      <c r="F208">
        <f t="shared" si="7"/>
        <v>130900000</v>
      </c>
      <c r="G208">
        <v>4</v>
      </c>
      <c r="H208">
        <v>98.6</v>
      </c>
    </row>
    <row r="209" spans="1:8" x14ac:dyDescent="0.3">
      <c r="A209" t="s">
        <v>6</v>
      </c>
      <c r="B209" t="s">
        <v>42</v>
      </c>
      <c r="C209" t="str">
        <f t="shared" si="6"/>
        <v>2018</v>
      </c>
      <c r="D209" t="s">
        <v>47</v>
      </c>
      <c r="E209">
        <v>638</v>
      </c>
      <c r="F209">
        <f t="shared" si="7"/>
        <v>63800000</v>
      </c>
      <c r="G209">
        <v>5.0999999999999996</v>
      </c>
      <c r="H209">
        <v>89.1</v>
      </c>
    </row>
    <row r="210" spans="1:8" x14ac:dyDescent="0.3">
      <c r="A210" t="s">
        <v>6</v>
      </c>
      <c r="B210" t="s">
        <v>7</v>
      </c>
      <c r="C210" t="str">
        <f t="shared" si="6"/>
        <v>2017</v>
      </c>
      <c r="D210" t="s">
        <v>48</v>
      </c>
      <c r="E210">
        <v>449</v>
      </c>
      <c r="F210">
        <f t="shared" si="7"/>
        <v>44900000</v>
      </c>
      <c r="G210">
        <v>18.399999999999999</v>
      </c>
      <c r="H210">
        <v>67.2</v>
      </c>
    </row>
    <row r="211" spans="1:8" x14ac:dyDescent="0.3">
      <c r="A211" t="s">
        <v>6</v>
      </c>
      <c r="B211" t="s">
        <v>9</v>
      </c>
      <c r="C211" t="str">
        <f t="shared" si="6"/>
        <v>2017</v>
      </c>
      <c r="D211" t="s">
        <v>48</v>
      </c>
      <c r="E211">
        <v>8203</v>
      </c>
      <c r="F211">
        <f t="shared" si="7"/>
        <v>820300000</v>
      </c>
      <c r="G211">
        <v>1.6</v>
      </c>
      <c r="H211">
        <v>98.4</v>
      </c>
    </row>
    <row r="212" spans="1:8" x14ac:dyDescent="0.3">
      <c r="A212" t="s">
        <v>6</v>
      </c>
      <c r="B212" t="s">
        <v>10</v>
      </c>
      <c r="C212" t="str">
        <f t="shared" si="6"/>
        <v>2017</v>
      </c>
      <c r="D212" t="s">
        <v>48</v>
      </c>
      <c r="E212">
        <v>28</v>
      </c>
      <c r="F212">
        <f t="shared" si="7"/>
        <v>2800000</v>
      </c>
      <c r="G212">
        <v>55.8</v>
      </c>
      <c r="H212">
        <v>7.7</v>
      </c>
    </row>
    <row r="213" spans="1:8" x14ac:dyDescent="0.3">
      <c r="A213" t="s">
        <v>6</v>
      </c>
      <c r="B213" t="s">
        <v>11</v>
      </c>
      <c r="C213" t="str">
        <f t="shared" si="6"/>
        <v>2017</v>
      </c>
      <c r="D213" t="s">
        <v>48</v>
      </c>
      <c r="E213">
        <v>-735</v>
      </c>
      <c r="F213">
        <f t="shared" si="7"/>
        <v>-73500000</v>
      </c>
      <c r="G213">
        <v>10.4</v>
      </c>
      <c r="H213">
        <v>41.4</v>
      </c>
    </row>
    <row r="214" spans="1:8" x14ac:dyDescent="0.3">
      <c r="A214" t="s">
        <v>6</v>
      </c>
      <c r="B214" t="s">
        <v>12</v>
      </c>
      <c r="C214" t="str">
        <f t="shared" si="6"/>
        <v>2017</v>
      </c>
      <c r="D214" t="s">
        <v>48</v>
      </c>
      <c r="E214">
        <v>3963</v>
      </c>
      <c r="F214">
        <f t="shared" si="7"/>
        <v>396300000</v>
      </c>
      <c r="G214">
        <v>3.9</v>
      </c>
      <c r="H214">
        <v>93.3</v>
      </c>
    </row>
    <row r="215" spans="1:8" x14ac:dyDescent="0.3">
      <c r="A215" t="s">
        <v>6</v>
      </c>
      <c r="B215" t="s">
        <v>13</v>
      </c>
      <c r="C215" t="str">
        <f t="shared" si="6"/>
        <v>2017</v>
      </c>
      <c r="D215" t="s">
        <v>48</v>
      </c>
      <c r="E215">
        <v>557</v>
      </c>
      <c r="F215">
        <f t="shared" si="7"/>
        <v>55700000</v>
      </c>
      <c r="G215">
        <v>5.7</v>
      </c>
      <c r="H215">
        <v>81.900000000000006</v>
      </c>
    </row>
    <row r="216" spans="1:8" x14ac:dyDescent="0.3">
      <c r="A216" t="s">
        <v>6</v>
      </c>
      <c r="B216" t="s">
        <v>14</v>
      </c>
      <c r="C216" t="str">
        <f t="shared" si="6"/>
        <v>2017</v>
      </c>
      <c r="D216" t="s">
        <v>48</v>
      </c>
      <c r="E216">
        <v>4466</v>
      </c>
      <c r="F216">
        <f t="shared" si="7"/>
        <v>446600000</v>
      </c>
      <c r="G216">
        <v>3.1</v>
      </c>
      <c r="H216">
        <v>77.2</v>
      </c>
    </row>
    <row r="217" spans="1:8" x14ac:dyDescent="0.3">
      <c r="A217" t="s">
        <v>6</v>
      </c>
      <c r="B217" t="s">
        <v>15</v>
      </c>
      <c r="C217" t="str">
        <f t="shared" si="6"/>
        <v>2017</v>
      </c>
      <c r="D217" t="s">
        <v>48</v>
      </c>
      <c r="E217">
        <v>2214</v>
      </c>
      <c r="F217">
        <f t="shared" si="7"/>
        <v>221400000</v>
      </c>
      <c r="G217">
        <v>1.8</v>
      </c>
      <c r="H217">
        <v>95.7</v>
      </c>
    </row>
    <row r="218" spans="1:8" x14ac:dyDescent="0.3">
      <c r="A218" t="s">
        <v>6</v>
      </c>
      <c r="B218" t="s">
        <v>16</v>
      </c>
      <c r="C218" t="str">
        <f t="shared" si="6"/>
        <v>2017</v>
      </c>
      <c r="D218" t="s">
        <v>48</v>
      </c>
      <c r="E218">
        <v>1089</v>
      </c>
      <c r="F218">
        <f t="shared" si="7"/>
        <v>108900000</v>
      </c>
      <c r="G218">
        <v>8</v>
      </c>
      <c r="H218">
        <v>88.6</v>
      </c>
    </row>
    <row r="219" spans="1:8" x14ac:dyDescent="0.3">
      <c r="A219" t="s">
        <v>6</v>
      </c>
      <c r="B219" t="s">
        <v>17</v>
      </c>
      <c r="C219" t="str">
        <f t="shared" si="6"/>
        <v>2017</v>
      </c>
      <c r="D219" t="s">
        <v>48</v>
      </c>
      <c r="E219">
        <v>4554</v>
      </c>
      <c r="F219">
        <f t="shared" si="7"/>
        <v>455400000</v>
      </c>
      <c r="G219">
        <v>2.2000000000000002</v>
      </c>
      <c r="H219">
        <v>97</v>
      </c>
    </row>
    <row r="220" spans="1:8" x14ac:dyDescent="0.3">
      <c r="A220" t="s">
        <v>6</v>
      </c>
      <c r="B220" t="s">
        <v>18</v>
      </c>
      <c r="C220" t="str">
        <f t="shared" si="6"/>
        <v>2017</v>
      </c>
      <c r="D220" t="s">
        <v>48</v>
      </c>
      <c r="E220">
        <v>3565</v>
      </c>
      <c r="F220">
        <f t="shared" si="7"/>
        <v>356500000</v>
      </c>
      <c r="G220">
        <v>0.1</v>
      </c>
      <c r="H220">
        <v>100</v>
      </c>
    </row>
    <row r="221" spans="1:8" x14ac:dyDescent="0.3">
      <c r="A221" t="s">
        <v>6</v>
      </c>
      <c r="B221" t="s">
        <v>19</v>
      </c>
      <c r="C221" t="str">
        <f t="shared" si="6"/>
        <v>2017</v>
      </c>
      <c r="D221" t="s">
        <v>48</v>
      </c>
      <c r="E221">
        <v>4979</v>
      </c>
      <c r="F221">
        <f t="shared" si="7"/>
        <v>497900000</v>
      </c>
      <c r="G221">
        <v>8</v>
      </c>
      <c r="H221">
        <v>48.8</v>
      </c>
    </row>
    <row r="222" spans="1:8" x14ac:dyDescent="0.3">
      <c r="A222" t="s">
        <v>6</v>
      </c>
      <c r="B222" t="s">
        <v>20</v>
      </c>
      <c r="C222" t="str">
        <f t="shared" si="6"/>
        <v>2017</v>
      </c>
      <c r="D222" t="s">
        <v>48</v>
      </c>
      <c r="E222">
        <v>367.77569940000001</v>
      </c>
      <c r="F222">
        <f t="shared" si="7"/>
        <v>36777569.939999998</v>
      </c>
      <c r="G222">
        <v>4.8</v>
      </c>
      <c r="H222">
        <v>72.5</v>
      </c>
    </row>
    <row r="223" spans="1:8" x14ac:dyDescent="0.3">
      <c r="A223" t="s">
        <v>6</v>
      </c>
      <c r="B223" t="s">
        <v>21</v>
      </c>
      <c r="C223" t="str">
        <f t="shared" si="6"/>
        <v>2017</v>
      </c>
      <c r="D223" t="s">
        <v>48</v>
      </c>
      <c r="E223">
        <v>47</v>
      </c>
      <c r="F223">
        <f t="shared" si="7"/>
        <v>4700000</v>
      </c>
      <c r="G223">
        <v>41.5</v>
      </c>
      <c r="H223">
        <v>82.5</v>
      </c>
    </row>
    <row r="224" spans="1:8" x14ac:dyDescent="0.3">
      <c r="A224" t="s">
        <v>6</v>
      </c>
      <c r="B224" t="s">
        <v>22</v>
      </c>
      <c r="C224" t="str">
        <f t="shared" si="6"/>
        <v>2017</v>
      </c>
      <c r="D224" t="s">
        <v>48</v>
      </c>
      <c r="E224">
        <v>3425</v>
      </c>
      <c r="F224">
        <f t="shared" si="7"/>
        <v>342500000</v>
      </c>
      <c r="G224">
        <v>4.4000000000000004</v>
      </c>
      <c r="H224">
        <v>96.8</v>
      </c>
    </row>
    <row r="225" spans="1:8" x14ac:dyDescent="0.3">
      <c r="A225" t="s">
        <v>6</v>
      </c>
      <c r="B225" t="s">
        <v>23</v>
      </c>
      <c r="C225" t="str">
        <f t="shared" si="6"/>
        <v>2017</v>
      </c>
      <c r="D225" t="s">
        <v>48</v>
      </c>
      <c r="E225">
        <v>10035</v>
      </c>
      <c r="F225">
        <f t="shared" si="7"/>
        <v>1003500000</v>
      </c>
      <c r="G225">
        <v>5.9</v>
      </c>
      <c r="H225">
        <v>93</v>
      </c>
    </row>
    <row r="226" spans="1:8" x14ac:dyDescent="0.3">
      <c r="A226" t="s">
        <v>6</v>
      </c>
      <c r="B226" t="s">
        <v>24</v>
      </c>
      <c r="C226" t="str">
        <f t="shared" si="6"/>
        <v>2017</v>
      </c>
      <c r="D226" t="s">
        <v>48</v>
      </c>
      <c r="E226">
        <v>8.2243006219999994</v>
      </c>
      <c r="F226">
        <f t="shared" si="7"/>
        <v>822430.06219999993</v>
      </c>
      <c r="G226">
        <v>4.8</v>
      </c>
      <c r="H226">
        <v>72.5</v>
      </c>
    </row>
    <row r="227" spans="1:8" x14ac:dyDescent="0.3">
      <c r="A227" t="s">
        <v>6</v>
      </c>
      <c r="B227" t="s">
        <v>25</v>
      </c>
      <c r="C227" t="str">
        <f t="shared" si="6"/>
        <v>2017</v>
      </c>
      <c r="D227" t="s">
        <v>48</v>
      </c>
      <c r="E227">
        <v>6352</v>
      </c>
      <c r="F227">
        <f t="shared" si="7"/>
        <v>635200000</v>
      </c>
      <c r="G227">
        <v>4.9000000000000004</v>
      </c>
      <c r="H227">
        <v>89.7</v>
      </c>
    </row>
    <row r="228" spans="1:8" x14ac:dyDescent="0.3">
      <c r="A228" t="s">
        <v>6</v>
      </c>
      <c r="B228" t="s">
        <v>26</v>
      </c>
      <c r="C228" t="str">
        <f t="shared" si="6"/>
        <v>2017</v>
      </c>
      <c r="D228" t="s">
        <v>48</v>
      </c>
      <c r="E228">
        <v>20146</v>
      </c>
      <c r="F228">
        <f t="shared" si="7"/>
        <v>2014600000</v>
      </c>
      <c r="G228">
        <v>9.9</v>
      </c>
      <c r="H228">
        <v>83.6</v>
      </c>
    </row>
    <row r="229" spans="1:8" x14ac:dyDescent="0.3">
      <c r="A229" t="s">
        <v>6</v>
      </c>
      <c r="B229" t="s">
        <v>27</v>
      </c>
      <c r="C229" t="str">
        <f t="shared" si="6"/>
        <v>2017</v>
      </c>
      <c r="D229" t="s">
        <v>48</v>
      </c>
      <c r="E229">
        <v>1</v>
      </c>
      <c r="F229">
        <f t="shared" si="7"/>
        <v>100000</v>
      </c>
      <c r="G229">
        <v>83.3</v>
      </c>
      <c r="H229">
        <v>3.9</v>
      </c>
    </row>
    <row r="230" spans="1:8" x14ac:dyDescent="0.3">
      <c r="A230" t="s">
        <v>6</v>
      </c>
      <c r="B230" t="s">
        <v>28</v>
      </c>
      <c r="C230" t="str">
        <f t="shared" si="6"/>
        <v>2017</v>
      </c>
      <c r="D230" t="s">
        <v>48</v>
      </c>
      <c r="E230">
        <v>945</v>
      </c>
      <c r="F230">
        <f t="shared" si="7"/>
        <v>94500000</v>
      </c>
      <c r="G230">
        <v>9.1999999999999993</v>
      </c>
      <c r="H230">
        <v>19.3</v>
      </c>
    </row>
    <row r="231" spans="1:8" x14ac:dyDescent="0.3">
      <c r="A231" t="s">
        <v>6</v>
      </c>
      <c r="B231" t="s">
        <v>29</v>
      </c>
      <c r="C231" t="str">
        <f t="shared" si="6"/>
        <v>2017</v>
      </c>
      <c r="D231" t="s">
        <v>48</v>
      </c>
      <c r="E231">
        <v>631</v>
      </c>
      <c r="F231">
        <f t="shared" si="7"/>
        <v>63100000</v>
      </c>
      <c r="G231">
        <v>9.6999999999999993</v>
      </c>
      <c r="H231">
        <v>62.3</v>
      </c>
    </row>
    <row r="232" spans="1:8" x14ac:dyDescent="0.3">
      <c r="A232" t="s">
        <v>6</v>
      </c>
      <c r="B232" t="s">
        <v>30</v>
      </c>
      <c r="C232" t="str">
        <f t="shared" si="6"/>
        <v>2017</v>
      </c>
      <c r="D232" t="s">
        <v>48</v>
      </c>
      <c r="E232">
        <v>860</v>
      </c>
      <c r="F232">
        <f t="shared" si="7"/>
        <v>86000000</v>
      </c>
      <c r="G232">
        <v>14.4</v>
      </c>
      <c r="H232">
        <v>58.6</v>
      </c>
    </row>
    <row r="233" spans="1:8" x14ac:dyDescent="0.3">
      <c r="A233" t="s">
        <v>6</v>
      </c>
      <c r="B233" t="s">
        <v>31</v>
      </c>
      <c r="C233" t="str">
        <f t="shared" si="6"/>
        <v>2017</v>
      </c>
      <c r="D233" t="s">
        <v>48</v>
      </c>
      <c r="E233">
        <v>1984</v>
      </c>
      <c r="F233">
        <f t="shared" si="7"/>
        <v>198400000</v>
      </c>
      <c r="G233">
        <v>1.7</v>
      </c>
      <c r="H233">
        <v>98.1</v>
      </c>
    </row>
    <row r="234" spans="1:8" x14ac:dyDescent="0.3">
      <c r="A234" t="s">
        <v>6</v>
      </c>
      <c r="B234" t="s">
        <v>32</v>
      </c>
      <c r="C234" t="str">
        <f t="shared" si="6"/>
        <v>2017</v>
      </c>
      <c r="D234" t="s">
        <v>48</v>
      </c>
      <c r="E234">
        <v>52</v>
      </c>
      <c r="F234">
        <f t="shared" si="7"/>
        <v>5200000</v>
      </c>
      <c r="G234">
        <v>17.8</v>
      </c>
      <c r="H234">
        <v>93.2</v>
      </c>
    </row>
    <row r="235" spans="1:8" x14ac:dyDescent="0.3">
      <c r="A235" t="s">
        <v>6</v>
      </c>
      <c r="B235" t="s">
        <v>33</v>
      </c>
      <c r="C235" t="str">
        <f t="shared" si="6"/>
        <v>2017</v>
      </c>
      <c r="D235" t="s">
        <v>48</v>
      </c>
      <c r="E235">
        <v>2518</v>
      </c>
      <c r="F235">
        <f t="shared" si="7"/>
        <v>251800000</v>
      </c>
      <c r="G235">
        <v>1</v>
      </c>
      <c r="H235">
        <v>99.7</v>
      </c>
    </row>
    <row r="236" spans="1:8" x14ac:dyDescent="0.3">
      <c r="A236" t="s">
        <v>6</v>
      </c>
      <c r="B236" t="s">
        <v>34</v>
      </c>
      <c r="C236" t="str">
        <f t="shared" si="6"/>
        <v>2017</v>
      </c>
      <c r="D236" t="s">
        <v>48</v>
      </c>
      <c r="E236">
        <v>2563</v>
      </c>
      <c r="F236">
        <f t="shared" si="7"/>
        <v>256300000</v>
      </c>
      <c r="G236">
        <v>0.2</v>
      </c>
      <c r="H236">
        <v>99.8</v>
      </c>
    </row>
    <row r="237" spans="1:8" x14ac:dyDescent="0.3">
      <c r="A237" t="s">
        <v>6</v>
      </c>
      <c r="B237" t="s">
        <v>35</v>
      </c>
      <c r="C237" t="str">
        <f t="shared" si="6"/>
        <v>2017</v>
      </c>
      <c r="D237" t="s">
        <v>48</v>
      </c>
      <c r="E237">
        <v>483</v>
      </c>
      <c r="F237">
        <f t="shared" si="7"/>
        <v>48300000</v>
      </c>
      <c r="G237">
        <v>5</v>
      </c>
      <c r="H237">
        <v>38.1</v>
      </c>
    </row>
    <row r="238" spans="1:8" x14ac:dyDescent="0.3">
      <c r="A238" t="s">
        <v>6</v>
      </c>
      <c r="B238" t="s">
        <v>36</v>
      </c>
      <c r="C238" t="str">
        <f t="shared" si="6"/>
        <v>2017</v>
      </c>
      <c r="D238" t="s">
        <v>48</v>
      </c>
      <c r="E238">
        <v>8277</v>
      </c>
      <c r="F238">
        <f t="shared" si="7"/>
        <v>827700000</v>
      </c>
      <c r="G238">
        <v>3.4</v>
      </c>
      <c r="H238">
        <v>98.8</v>
      </c>
    </row>
    <row r="239" spans="1:8" x14ac:dyDescent="0.3">
      <c r="A239" t="s">
        <v>6</v>
      </c>
      <c r="B239" t="s">
        <v>37</v>
      </c>
      <c r="C239" t="str">
        <f t="shared" si="6"/>
        <v>2017</v>
      </c>
      <c r="D239" t="s">
        <v>48</v>
      </c>
      <c r="E239">
        <v>4099</v>
      </c>
      <c r="F239">
        <f t="shared" si="7"/>
        <v>409900000</v>
      </c>
      <c r="G239">
        <v>0.2</v>
      </c>
      <c r="H239">
        <v>99.8</v>
      </c>
    </row>
    <row r="240" spans="1:8" x14ac:dyDescent="0.3">
      <c r="A240" t="s">
        <v>6</v>
      </c>
      <c r="B240" t="s">
        <v>39</v>
      </c>
      <c r="C240" t="str">
        <f t="shared" si="6"/>
        <v>2017</v>
      </c>
      <c r="D240" t="s">
        <v>48</v>
      </c>
      <c r="E240">
        <v>1385</v>
      </c>
      <c r="F240">
        <f t="shared" si="7"/>
        <v>138500000</v>
      </c>
      <c r="G240">
        <v>3.2</v>
      </c>
      <c r="H240">
        <v>81.599999999999994</v>
      </c>
    </row>
    <row r="241" spans="1:8" x14ac:dyDescent="0.3">
      <c r="A241" t="s">
        <v>6</v>
      </c>
      <c r="B241" t="s">
        <v>40</v>
      </c>
      <c r="C241" t="str">
        <f t="shared" si="6"/>
        <v>2017</v>
      </c>
      <c r="D241" t="s">
        <v>48</v>
      </c>
      <c r="E241">
        <v>4091</v>
      </c>
      <c r="F241">
        <f t="shared" si="7"/>
        <v>409100000</v>
      </c>
      <c r="G241">
        <v>8.5</v>
      </c>
      <c r="H241">
        <v>95.7</v>
      </c>
    </row>
    <row r="242" spans="1:8" x14ac:dyDescent="0.3">
      <c r="A242" t="s">
        <v>6</v>
      </c>
      <c r="B242" t="s">
        <v>41</v>
      </c>
      <c r="C242" t="str">
        <f t="shared" si="6"/>
        <v>2017</v>
      </c>
      <c r="D242" t="s">
        <v>48</v>
      </c>
      <c r="E242">
        <v>1270</v>
      </c>
      <c r="F242">
        <f t="shared" si="7"/>
        <v>127000000</v>
      </c>
      <c r="G242">
        <v>4.9000000000000004</v>
      </c>
      <c r="H242">
        <v>96.4</v>
      </c>
    </row>
    <row r="243" spans="1:8" x14ac:dyDescent="0.3">
      <c r="A243" t="s">
        <v>6</v>
      </c>
      <c r="B243" t="s">
        <v>42</v>
      </c>
      <c r="C243" t="str">
        <f t="shared" si="6"/>
        <v>2017</v>
      </c>
      <c r="D243" t="s">
        <v>48</v>
      </c>
      <c r="E243">
        <v>124</v>
      </c>
      <c r="F243">
        <f t="shared" si="7"/>
        <v>12400000</v>
      </c>
      <c r="G243">
        <v>5.2</v>
      </c>
      <c r="H243">
        <v>86.9</v>
      </c>
    </row>
    <row r="244" spans="1:8" x14ac:dyDescent="0.3">
      <c r="A244" t="s">
        <v>6</v>
      </c>
      <c r="B244" t="s">
        <v>7</v>
      </c>
      <c r="C244" t="str">
        <f t="shared" si="6"/>
        <v>2016</v>
      </c>
      <c r="D244" t="s">
        <v>49</v>
      </c>
      <c r="E244">
        <v>390</v>
      </c>
      <c r="F244">
        <f t="shared" si="7"/>
        <v>39000000</v>
      </c>
      <c r="G244">
        <v>18.3</v>
      </c>
      <c r="H244">
        <v>61.2</v>
      </c>
    </row>
    <row r="245" spans="1:8" x14ac:dyDescent="0.3">
      <c r="A245" t="s">
        <v>6</v>
      </c>
      <c r="B245" t="s">
        <v>9</v>
      </c>
      <c r="C245" t="str">
        <f t="shared" si="6"/>
        <v>2016</v>
      </c>
      <c r="D245" t="s">
        <v>49</v>
      </c>
      <c r="E245">
        <v>6860</v>
      </c>
      <c r="F245">
        <f t="shared" si="7"/>
        <v>686000000</v>
      </c>
      <c r="G245">
        <v>1.8</v>
      </c>
      <c r="H245">
        <v>98.7</v>
      </c>
    </row>
    <row r="246" spans="1:8" x14ac:dyDescent="0.3">
      <c r="A246" t="s">
        <v>6</v>
      </c>
      <c r="B246" t="s">
        <v>10</v>
      </c>
      <c r="C246" t="str">
        <f t="shared" si="6"/>
        <v>2016</v>
      </c>
      <c r="D246" t="s">
        <v>49</v>
      </c>
      <c r="E246">
        <v>20</v>
      </c>
      <c r="F246">
        <f t="shared" si="7"/>
        <v>2000000</v>
      </c>
      <c r="G246">
        <v>50.2</v>
      </c>
      <c r="H246">
        <v>22.2</v>
      </c>
    </row>
    <row r="247" spans="1:8" x14ac:dyDescent="0.3">
      <c r="A247" t="s">
        <v>6</v>
      </c>
      <c r="B247" t="s">
        <v>11</v>
      </c>
      <c r="C247" t="str">
        <f t="shared" si="6"/>
        <v>2016</v>
      </c>
      <c r="D247" t="s">
        <v>49</v>
      </c>
      <c r="E247">
        <v>1550</v>
      </c>
      <c r="F247">
        <f t="shared" si="7"/>
        <v>155000000</v>
      </c>
      <c r="G247">
        <v>10.7</v>
      </c>
      <c r="H247">
        <v>51.4</v>
      </c>
    </row>
    <row r="248" spans="1:8" x14ac:dyDescent="0.3">
      <c r="A248" t="s">
        <v>6</v>
      </c>
      <c r="B248" t="s">
        <v>12</v>
      </c>
      <c r="C248" t="str">
        <f t="shared" si="6"/>
        <v>2016</v>
      </c>
      <c r="D248" t="s">
        <v>49</v>
      </c>
      <c r="E248">
        <v>3620</v>
      </c>
      <c r="F248">
        <f t="shared" si="7"/>
        <v>362000000</v>
      </c>
      <c r="G248">
        <v>4.5</v>
      </c>
      <c r="H248">
        <v>76.099999999999994</v>
      </c>
    </row>
    <row r="249" spans="1:8" x14ac:dyDescent="0.3">
      <c r="A249" t="s">
        <v>6</v>
      </c>
      <c r="B249" t="s">
        <v>13</v>
      </c>
      <c r="C249" t="str">
        <f t="shared" si="6"/>
        <v>2016</v>
      </c>
      <c r="D249" t="s">
        <v>49</v>
      </c>
      <c r="E249">
        <v>290</v>
      </c>
      <c r="F249">
        <f t="shared" si="7"/>
        <v>29000000</v>
      </c>
      <c r="G249">
        <v>4.4000000000000004</v>
      </c>
      <c r="H249">
        <v>82.7</v>
      </c>
    </row>
    <row r="250" spans="1:8" x14ac:dyDescent="0.3">
      <c r="A250" t="s">
        <v>6</v>
      </c>
      <c r="B250" t="s">
        <v>14</v>
      </c>
      <c r="C250" t="str">
        <f t="shared" si="6"/>
        <v>2016</v>
      </c>
      <c r="D250" t="s">
        <v>49</v>
      </c>
      <c r="E250">
        <v>1490</v>
      </c>
      <c r="F250">
        <f t="shared" si="7"/>
        <v>149000000</v>
      </c>
      <c r="G250">
        <v>3.2</v>
      </c>
      <c r="H250">
        <v>80.599999999999994</v>
      </c>
    </row>
    <row r="251" spans="1:8" x14ac:dyDescent="0.3">
      <c r="A251" t="s">
        <v>6</v>
      </c>
      <c r="B251" t="s">
        <v>15</v>
      </c>
      <c r="C251" t="str">
        <f t="shared" si="6"/>
        <v>2016</v>
      </c>
      <c r="D251" t="s">
        <v>49</v>
      </c>
      <c r="E251">
        <v>1990</v>
      </c>
      <c r="F251">
        <f t="shared" si="7"/>
        <v>199000000</v>
      </c>
      <c r="G251">
        <v>2.9</v>
      </c>
      <c r="H251">
        <v>95.5</v>
      </c>
    </row>
    <row r="252" spans="1:8" x14ac:dyDescent="0.3">
      <c r="A252" t="s">
        <v>6</v>
      </c>
      <c r="B252" t="s">
        <v>16</v>
      </c>
      <c r="C252" t="str">
        <f t="shared" si="6"/>
        <v>2016</v>
      </c>
      <c r="D252" t="s">
        <v>49</v>
      </c>
      <c r="E252">
        <v>-1490</v>
      </c>
      <c r="F252">
        <f t="shared" si="7"/>
        <v>-149000000</v>
      </c>
      <c r="G252">
        <v>9</v>
      </c>
      <c r="H252">
        <v>83.2</v>
      </c>
    </row>
    <row r="253" spans="1:8" x14ac:dyDescent="0.3">
      <c r="A253" t="s">
        <v>6</v>
      </c>
      <c r="B253" t="s">
        <v>17</v>
      </c>
      <c r="C253" t="str">
        <f t="shared" si="6"/>
        <v>2016</v>
      </c>
      <c r="D253" t="s">
        <v>49</v>
      </c>
      <c r="E253">
        <v>4060</v>
      </c>
      <c r="F253">
        <f t="shared" si="7"/>
        <v>406000000</v>
      </c>
      <c r="G253">
        <v>2</v>
      </c>
      <c r="H253">
        <v>97.8</v>
      </c>
    </row>
    <row r="254" spans="1:8" x14ac:dyDescent="0.3">
      <c r="A254" t="s">
        <v>6</v>
      </c>
      <c r="B254" t="s">
        <v>18</v>
      </c>
      <c r="C254" t="str">
        <f t="shared" si="6"/>
        <v>2016</v>
      </c>
      <c r="D254" t="s">
        <v>49</v>
      </c>
      <c r="E254">
        <v>3200</v>
      </c>
      <c r="F254">
        <f t="shared" si="7"/>
        <v>320000000</v>
      </c>
      <c r="G254">
        <v>0.1</v>
      </c>
      <c r="H254">
        <v>94</v>
      </c>
    </row>
    <row r="255" spans="1:8" x14ac:dyDescent="0.3">
      <c r="A255" t="s">
        <v>6</v>
      </c>
      <c r="B255" t="s">
        <v>19</v>
      </c>
      <c r="C255" t="str">
        <f t="shared" si="6"/>
        <v>2016</v>
      </c>
      <c r="D255" t="s">
        <v>49</v>
      </c>
      <c r="E255">
        <v>9320</v>
      </c>
      <c r="F255">
        <f t="shared" si="7"/>
        <v>932000000</v>
      </c>
      <c r="G255">
        <v>5.7</v>
      </c>
      <c r="H255">
        <v>60.3</v>
      </c>
    </row>
    <row r="256" spans="1:8" x14ac:dyDescent="0.3">
      <c r="A256" t="s">
        <v>6</v>
      </c>
      <c r="B256" t="s">
        <v>20</v>
      </c>
      <c r="C256" t="str">
        <f t="shared" si="6"/>
        <v>2016</v>
      </c>
      <c r="D256" t="s">
        <v>49</v>
      </c>
      <c r="E256">
        <v>420.59454979999998</v>
      </c>
      <c r="F256">
        <f t="shared" si="7"/>
        <v>42059454.979999997</v>
      </c>
      <c r="G256">
        <v>10</v>
      </c>
      <c r="H256">
        <v>64.8</v>
      </c>
    </row>
    <row r="257" spans="1:8" x14ac:dyDescent="0.3">
      <c r="A257" t="s">
        <v>6</v>
      </c>
      <c r="B257" t="s">
        <v>21</v>
      </c>
      <c r="C257" t="str">
        <f t="shared" si="6"/>
        <v>2016</v>
      </c>
      <c r="D257" t="s">
        <v>49</v>
      </c>
      <c r="E257">
        <v>-320</v>
      </c>
      <c r="F257">
        <f t="shared" si="7"/>
        <v>-32000000</v>
      </c>
      <c r="G257">
        <v>24.4</v>
      </c>
      <c r="H257">
        <v>20.5</v>
      </c>
    </row>
    <row r="258" spans="1:8" x14ac:dyDescent="0.3">
      <c r="A258" t="s">
        <v>6</v>
      </c>
      <c r="B258" t="s">
        <v>22</v>
      </c>
      <c r="C258" t="str">
        <f t="shared" si="6"/>
        <v>2016</v>
      </c>
      <c r="D258" t="s">
        <v>49</v>
      </c>
      <c r="E258">
        <v>3300</v>
      </c>
      <c r="F258">
        <f t="shared" si="7"/>
        <v>330000000</v>
      </c>
      <c r="G258">
        <v>2.2000000000000002</v>
      </c>
      <c r="H258">
        <v>97.4</v>
      </c>
    </row>
    <row r="259" spans="1:8" x14ac:dyDescent="0.3">
      <c r="A259" t="s">
        <v>6</v>
      </c>
      <c r="B259" t="s">
        <v>23</v>
      </c>
      <c r="C259" t="str">
        <f t="shared" ref="C259:C322" si="8">RIGHT(D259,4)</f>
        <v>2016</v>
      </c>
      <c r="D259" t="s">
        <v>49</v>
      </c>
      <c r="E259">
        <v>8950</v>
      </c>
      <c r="F259">
        <f t="shared" ref="F259:F322" si="9">E259*100000</f>
        <v>895000000</v>
      </c>
      <c r="G259">
        <v>8.4</v>
      </c>
      <c r="H259">
        <v>83.5</v>
      </c>
    </row>
    <row r="260" spans="1:8" x14ac:dyDescent="0.3">
      <c r="A260" t="s">
        <v>6</v>
      </c>
      <c r="B260" t="s">
        <v>24</v>
      </c>
      <c r="C260" t="str">
        <f t="shared" si="8"/>
        <v>2016</v>
      </c>
      <c r="D260" t="s">
        <v>49</v>
      </c>
      <c r="E260">
        <v>9.4054501790000007</v>
      </c>
      <c r="F260">
        <f t="shared" si="9"/>
        <v>940545.01790000009</v>
      </c>
      <c r="G260">
        <v>10</v>
      </c>
      <c r="H260">
        <v>64.8</v>
      </c>
    </row>
    <row r="261" spans="1:8" x14ac:dyDescent="0.3">
      <c r="A261" t="s">
        <v>6</v>
      </c>
      <c r="B261" t="s">
        <v>25</v>
      </c>
      <c r="C261" t="str">
        <f t="shared" si="8"/>
        <v>2016</v>
      </c>
      <c r="D261" t="s">
        <v>49</v>
      </c>
      <c r="E261">
        <v>2980</v>
      </c>
      <c r="F261">
        <f t="shared" si="9"/>
        <v>298000000</v>
      </c>
      <c r="G261">
        <v>4.8</v>
      </c>
      <c r="H261">
        <v>93.9</v>
      </c>
    </row>
    <row r="262" spans="1:8" x14ac:dyDescent="0.3">
      <c r="A262" t="s">
        <v>6</v>
      </c>
      <c r="B262" t="s">
        <v>26</v>
      </c>
      <c r="C262" t="str">
        <f t="shared" si="8"/>
        <v>2016</v>
      </c>
      <c r="D262" t="s">
        <v>49</v>
      </c>
      <c r="E262">
        <v>24530</v>
      </c>
      <c r="F262">
        <f t="shared" si="9"/>
        <v>2453000000</v>
      </c>
      <c r="G262">
        <v>8</v>
      </c>
      <c r="H262">
        <v>79.2</v>
      </c>
    </row>
    <row r="263" spans="1:8" x14ac:dyDescent="0.3">
      <c r="A263" t="s">
        <v>6</v>
      </c>
      <c r="B263" t="s">
        <v>27</v>
      </c>
      <c r="C263" t="str">
        <f t="shared" si="8"/>
        <v>2016</v>
      </c>
      <c r="D263" t="s">
        <v>49</v>
      </c>
      <c r="E263">
        <v>20</v>
      </c>
      <c r="F263">
        <f t="shared" si="9"/>
        <v>2000000</v>
      </c>
      <c r="G263">
        <v>91.6</v>
      </c>
      <c r="H263">
        <v>7.3</v>
      </c>
    </row>
    <row r="264" spans="1:8" x14ac:dyDescent="0.3">
      <c r="A264" t="s">
        <v>6</v>
      </c>
      <c r="B264" t="s">
        <v>28</v>
      </c>
      <c r="C264" t="str">
        <f t="shared" si="8"/>
        <v>2016</v>
      </c>
      <c r="D264" t="s">
        <v>49</v>
      </c>
      <c r="E264">
        <v>810</v>
      </c>
      <c r="F264">
        <f t="shared" si="9"/>
        <v>81000000</v>
      </c>
      <c r="G264">
        <v>9.3000000000000007</v>
      </c>
      <c r="H264">
        <v>28.1</v>
      </c>
    </row>
    <row r="265" spans="1:8" x14ac:dyDescent="0.3">
      <c r="A265" t="s">
        <v>6</v>
      </c>
      <c r="B265" t="s">
        <v>29</v>
      </c>
      <c r="C265" t="str">
        <f t="shared" si="8"/>
        <v>2016</v>
      </c>
      <c r="D265" t="s">
        <v>49</v>
      </c>
      <c r="E265">
        <v>670</v>
      </c>
      <c r="F265">
        <f t="shared" si="9"/>
        <v>67000000</v>
      </c>
      <c r="G265">
        <v>9.8000000000000007</v>
      </c>
      <c r="H265">
        <v>52.9</v>
      </c>
    </row>
    <row r="266" spans="1:8" x14ac:dyDescent="0.3">
      <c r="A266" t="s">
        <v>6</v>
      </c>
      <c r="B266" t="s">
        <v>30</v>
      </c>
      <c r="C266" t="str">
        <f t="shared" si="8"/>
        <v>2016</v>
      </c>
      <c r="D266" t="s">
        <v>49</v>
      </c>
      <c r="E266">
        <v>840</v>
      </c>
      <c r="F266">
        <f t="shared" si="9"/>
        <v>84000000</v>
      </c>
      <c r="G266">
        <v>15.5</v>
      </c>
      <c r="H266">
        <v>66.900000000000006</v>
      </c>
    </row>
    <row r="267" spans="1:8" x14ac:dyDescent="0.3">
      <c r="A267" t="s">
        <v>6</v>
      </c>
      <c r="B267" t="s">
        <v>31</v>
      </c>
      <c r="C267" t="str">
        <f t="shared" si="8"/>
        <v>2016</v>
      </c>
      <c r="D267" t="s">
        <v>49</v>
      </c>
      <c r="E267">
        <v>1770</v>
      </c>
      <c r="F267">
        <f t="shared" si="9"/>
        <v>177000000</v>
      </c>
      <c r="G267">
        <v>2.1</v>
      </c>
      <c r="H267">
        <v>97.9</v>
      </c>
    </row>
    <row r="268" spans="1:8" x14ac:dyDescent="0.3">
      <c r="A268" t="s">
        <v>6</v>
      </c>
      <c r="B268" t="s">
        <v>32</v>
      </c>
      <c r="C268" t="str">
        <f t="shared" si="8"/>
        <v>2016</v>
      </c>
      <c r="D268" t="s">
        <v>49</v>
      </c>
      <c r="E268">
        <v>80</v>
      </c>
      <c r="F268">
        <f t="shared" si="9"/>
        <v>8000000</v>
      </c>
      <c r="G268">
        <v>5.4</v>
      </c>
      <c r="H268">
        <v>36.700000000000003</v>
      </c>
    </row>
    <row r="269" spans="1:8" x14ac:dyDescent="0.3">
      <c r="A269" t="s">
        <v>6</v>
      </c>
      <c r="B269" t="s">
        <v>33</v>
      </c>
      <c r="C269" t="str">
        <f t="shared" si="8"/>
        <v>2016</v>
      </c>
      <c r="D269" t="s">
        <v>49</v>
      </c>
      <c r="E269">
        <v>3150</v>
      </c>
      <c r="F269">
        <f t="shared" si="9"/>
        <v>315000000</v>
      </c>
      <c r="G269">
        <v>0.9</v>
      </c>
      <c r="H269">
        <v>99.7</v>
      </c>
    </row>
    <row r="270" spans="1:8" x14ac:dyDescent="0.3">
      <c r="A270" t="s">
        <v>6</v>
      </c>
      <c r="B270" t="s">
        <v>34</v>
      </c>
      <c r="C270" t="str">
        <f t="shared" si="8"/>
        <v>2016</v>
      </c>
      <c r="D270" t="s">
        <v>49</v>
      </c>
      <c r="E270">
        <v>4180</v>
      </c>
      <c r="F270">
        <f t="shared" si="9"/>
        <v>418000000</v>
      </c>
      <c r="G270">
        <v>1.1000000000000001</v>
      </c>
      <c r="H270">
        <v>99.7</v>
      </c>
    </row>
    <row r="271" spans="1:8" x14ac:dyDescent="0.3">
      <c r="A271" t="s">
        <v>6</v>
      </c>
      <c r="B271" t="s">
        <v>35</v>
      </c>
      <c r="C271" t="str">
        <f t="shared" si="8"/>
        <v>2016</v>
      </c>
      <c r="D271" t="s">
        <v>49</v>
      </c>
      <c r="E271">
        <v>220</v>
      </c>
      <c r="F271">
        <f t="shared" si="9"/>
        <v>22000000</v>
      </c>
      <c r="G271">
        <v>6.1</v>
      </c>
      <c r="H271">
        <v>79</v>
      </c>
    </row>
    <row r="272" spans="1:8" x14ac:dyDescent="0.3">
      <c r="A272" t="s">
        <v>6</v>
      </c>
      <c r="B272" t="s">
        <v>36</v>
      </c>
      <c r="C272" t="str">
        <f t="shared" si="8"/>
        <v>2016</v>
      </c>
      <c r="D272" t="s">
        <v>49</v>
      </c>
      <c r="E272">
        <v>4370</v>
      </c>
      <c r="F272">
        <f t="shared" si="9"/>
        <v>437000000</v>
      </c>
      <c r="G272">
        <v>1.3</v>
      </c>
      <c r="H272">
        <v>99.6</v>
      </c>
    </row>
    <row r="273" spans="1:8" x14ac:dyDescent="0.3">
      <c r="A273" t="s">
        <v>6</v>
      </c>
      <c r="B273" t="s">
        <v>37</v>
      </c>
      <c r="C273" t="str">
        <f t="shared" si="8"/>
        <v>2016</v>
      </c>
      <c r="D273" t="s">
        <v>49</v>
      </c>
      <c r="E273">
        <v>2660</v>
      </c>
      <c r="F273">
        <f t="shared" si="9"/>
        <v>266000000</v>
      </c>
      <c r="G273">
        <v>0.4</v>
      </c>
      <c r="H273">
        <v>77.099999999999994</v>
      </c>
    </row>
    <row r="274" spans="1:8" x14ac:dyDescent="0.3">
      <c r="A274" t="s">
        <v>6</v>
      </c>
      <c r="B274" t="s">
        <v>39</v>
      </c>
      <c r="C274" t="str">
        <f t="shared" si="8"/>
        <v>2016</v>
      </c>
      <c r="D274" t="s">
        <v>49</v>
      </c>
      <c r="E274">
        <v>1200</v>
      </c>
      <c r="F274">
        <f t="shared" si="9"/>
        <v>120000000</v>
      </c>
      <c r="G274">
        <v>3.2</v>
      </c>
      <c r="H274">
        <v>81.5</v>
      </c>
    </row>
    <row r="275" spans="1:8" x14ac:dyDescent="0.3">
      <c r="A275" t="s">
        <v>6</v>
      </c>
      <c r="B275" t="s">
        <v>40</v>
      </c>
      <c r="C275" t="str">
        <f t="shared" si="8"/>
        <v>2016</v>
      </c>
      <c r="D275" t="s">
        <v>49</v>
      </c>
      <c r="E275">
        <v>3280</v>
      </c>
      <c r="F275">
        <f t="shared" si="9"/>
        <v>328000000</v>
      </c>
      <c r="G275">
        <v>5.7</v>
      </c>
      <c r="H275">
        <v>95.5</v>
      </c>
    </row>
    <row r="276" spans="1:8" x14ac:dyDescent="0.3">
      <c r="A276" t="s">
        <v>6</v>
      </c>
      <c r="B276" t="s">
        <v>41</v>
      </c>
      <c r="C276" t="str">
        <f t="shared" si="8"/>
        <v>2016</v>
      </c>
      <c r="D276" t="s">
        <v>49</v>
      </c>
      <c r="E276">
        <v>710</v>
      </c>
      <c r="F276">
        <f t="shared" si="9"/>
        <v>71000000</v>
      </c>
      <c r="G276">
        <v>2.5</v>
      </c>
      <c r="H276">
        <v>97.4</v>
      </c>
    </row>
    <row r="277" spans="1:8" x14ac:dyDescent="0.3">
      <c r="A277" t="s">
        <v>6</v>
      </c>
      <c r="B277" t="s">
        <v>42</v>
      </c>
      <c r="C277" t="str">
        <f t="shared" si="8"/>
        <v>2016</v>
      </c>
      <c r="D277" t="s">
        <v>49</v>
      </c>
      <c r="E277">
        <v>120</v>
      </c>
      <c r="F277">
        <f t="shared" si="9"/>
        <v>12000000</v>
      </c>
      <c r="G277">
        <v>5.0999999999999996</v>
      </c>
      <c r="H277">
        <v>84.5</v>
      </c>
    </row>
    <row r="278" spans="1:8" x14ac:dyDescent="0.3">
      <c r="A278" t="s">
        <v>6</v>
      </c>
      <c r="B278" t="s">
        <v>7</v>
      </c>
      <c r="C278" t="str">
        <f t="shared" si="8"/>
        <v>2015</v>
      </c>
      <c r="D278" t="s">
        <v>50</v>
      </c>
      <c r="E278">
        <v>510</v>
      </c>
      <c r="F278">
        <f t="shared" si="9"/>
        <v>51000000</v>
      </c>
      <c r="G278">
        <v>21.9</v>
      </c>
      <c r="H278">
        <v>64.099999999999994</v>
      </c>
    </row>
    <row r="279" spans="1:8" x14ac:dyDescent="0.3">
      <c r="A279" t="s">
        <v>6</v>
      </c>
      <c r="B279" t="s">
        <v>9</v>
      </c>
      <c r="C279" t="str">
        <f t="shared" si="8"/>
        <v>2015</v>
      </c>
      <c r="D279" t="s">
        <v>50</v>
      </c>
      <c r="E279">
        <v>3310</v>
      </c>
      <c r="F279">
        <f t="shared" si="9"/>
        <v>331000000</v>
      </c>
      <c r="G279">
        <v>0.4</v>
      </c>
      <c r="H279">
        <v>91.1</v>
      </c>
    </row>
    <row r="280" spans="1:8" x14ac:dyDescent="0.3">
      <c r="A280" t="s">
        <v>6</v>
      </c>
      <c r="B280" t="s">
        <v>10</v>
      </c>
      <c r="C280" t="str">
        <f t="shared" si="8"/>
        <v>2015</v>
      </c>
      <c r="D280" t="s">
        <v>50</v>
      </c>
      <c r="E280">
        <v>20</v>
      </c>
      <c r="F280">
        <f t="shared" si="9"/>
        <v>2000000</v>
      </c>
      <c r="G280">
        <v>67.2</v>
      </c>
      <c r="H280">
        <v>0</v>
      </c>
    </row>
    <row r="281" spans="1:8" x14ac:dyDescent="0.3">
      <c r="A281" t="s">
        <v>6</v>
      </c>
      <c r="B281" t="s">
        <v>11</v>
      </c>
      <c r="C281" t="str">
        <f t="shared" si="8"/>
        <v>2015</v>
      </c>
      <c r="D281" t="s">
        <v>50</v>
      </c>
      <c r="E281">
        <v>270</v>
      </c>
      <c r="F281">
        <f t="shared" si="9"/>
        <v>27000000</v>
      </c>
      <c r="G281">
        <v>11.1</v>
      </c>
      <c r="H281">
        <v>37.4</v>
      </c>
    </row>
    <row r="282" spans="1:8" x14ac:dyDescent="0.3">
      <c r="A282" t="s">
        <v>6</v>
      </c>
      <c r="B282" t="s">
        <v>12</v>
      </c>
      <c r="C282" t="str">
        <f t="shared" si="8"/>
        <v>2015</v>
      </c>
      <c r="D282" t="s">
        <v>50</v>
      </c>
      <c r="E282">
        <v>3600</v>
      </c>
      <c r="F282">
        <f t="shared" si="9"/>
        <v>360000000</v>
      </c>
      <c r="G282">
        <v>10.3</v>
      </c>
      <c r="H282">
        <v>37</v>
      </c>
    </row>
    <row r="283" spans="1:8" x14ac:dyDescent="0.3">
      <c r="A283" t="s">
        <v>6</v>
      </c>
      <c r="B283" t="s">
        <v>13</v>
      </c>
      <c r="C283" t="str">
        <f t="shared" si="8"/>
        <v>2015</v>
      </c>
      <c r="D283" t="s">
        <v>50</v>
      </c>
      <c r="E283">
        <v>430</v>
      </c>
      <c r="F283">
        <f t="shared" si="9"/>
        <v>43000000</v>
      </c>
      <c r="G283">
        <v>4</v>
      </c>
      <c r="H283">
        <v>77.099999999999994</v>
      </c>
    </row>
    <row r="284" spans="1:8" x14ac:dyDescent="0.3">
      <c r="A284" t="s">
        <v>6</v>
      </c>
      <c r="B284" t="s">
        <v>14</v>
      </c>
      <c r="C284" t="str">
        <f t="shared" si="8"/>
        <v>2015</v>
      </c>
      <c r="D284" t="s">
        <v>50</v>
      </c>
      <c r="E284">
        <v>2150</v>
      </c>
      <c r="F284">
        <f t="shared" si="9"/>
        <v>215000000</v>
      </c>
      <c r="G284">
        <v>3.8</v>
      </c>
      <c r="H284">
        <v>85.7</v>
      </c>
    </row>
    <row r="285" spans="1:8" x14ac:dyDescent="0.3">
      <c r="A285" t="s">
        <v>6</v>
      </c>
      <c r="B285" t="s">
        <v>15</v>
      </c>
      <c r="C285" t="str">
        <f t="shared" si="8"/>
        <v>2015</v>
      </c>
      <c r="D285" t="s">
        <v>50</v>
      </c>
      <c r="E285">
        <v>-1260</v>
      </c>
      <c r="F285">
        <f t="shared" si="9"/>
        <v>-126000000</v>
      </c>
      <c r="G285">
        <v>5.3</v>
      </c>
      <c r="H285">
        <v>93.9</v>
      </c>
    </row>
    <row r="286" spans="1:8" x14ac:dyDescent="0.3">
      <c r="A286" t="s">
        <v>6</v>
      </c>
      <c r="B286" t="s">
        <v>16</v>
      </c>
      <c r="C286" t="str">
        <f t="shared" si="8"/>
        <v>2015</v>
      </c>
      <c r="D286" t="s">
        <v>50</v>
      </c>
      <c r="E286">
        <v>-760</v>
      </c>
      <c r="F286">
        <f t="shared" si="9"/>
        <v>-76000000</v>
      </c>
      <c r="G286">
        <v>9.5</v>
      </c>
      <c r="H286">
        <v>89.2</v>
      </c>
    </row>
    <row r="287" spans="1:8" x14ac:dyDescent="0.3">
      <c r="A287" t="s">
        <v>6</v>
      </c>
      <c r="B287" t="s">
        <v>17</v>
      </c>
      <c r="C287" t="str">
        <f t="shared" si="8"/>
        <v>2015</v>
      </c>
      <c r="D287" t="s">
        <v>50</v>
      </c>
      <c r="E287">
        <v>1810</v>
      </c>
      <c r="F287">
        <f t="shared" si="9"/>
        <v>181000000</v>
      </c>
      <c r="G287">
        <v>2.5</v>
      </c>
      <c r="H287">
        <v>98.5</v>
      </c>
    </row>
    <row r="288" spans="1:8" x14ac:dyDescent="0.3">
      <c r="A288" t="s">
        <v>6</v>
      </c>
      <c r="B288" t="s">
        <v>18</v>
      </c>
      <c r="C288" t="str">
        <f t="shared" si="8"/>
        <v>2015</v>
      </c>
      <c r="D288" t="s">
        <v>50</v>
      </c>
      <c r="E288">
        <v>2380</v>
      </c>
      <c r="F288">
        <f t="shared" si="9"/>
        <v>238000000</v>
      </c>
      <c r="G288">
        <v>0</v>
      </c>
      <c r="H288">
        <v>99.5</v>
      </c>
    </row>
    <row r="289" spans="1:8" x14ac:dyDescent="0.3">
      <c r="A289" t="s">
        <v>6</v>
      </c>
      <c r="B289" t="s">
        <v>19</v>
      </c>
      <c r="C289" t="str">
        <f t="shared" si="8"/>
        <v>2015</v>
      </c>
      <c r="D289" t="s">
        <v>50</v>
      </c>
      <c r="E289">
        <v>5390</v>
      </c>
      <c r="F289">
        <f t="shared" si="9"/>
        <v>539000000</v>
      </c>
      <c r="G289">
        <v>6.6</v>
      </c>
      <c r="H289">
        <v>80.900000000000006</v>
      </c>
    </row>
    <row r="290" spans="1:8" x14ac:dyDescent="0.3">
      <c r="A290" t="s">
        <v>6</v>
      </c>
      <c r="B290" t="s">
        <v>20</v>
      </c>
      <c r="C290" t="str">
        <f t="shared" si="8"/>
        <v>2015</v>
      </c>
      <c r="D290" t="s">
        <v>50</v>
      </c>
      <c r="E290">
        <v>254.3129836</v>
      </c>
      <c r="F290">
        <f t="shared" si="9"/>
        <v>25431298.359999999</v>
      </c>
      <c r="G290">
        <v>19.100000000000001</v>
      </c>
      <c r="H290">
        <v>55.6</v>
      </c>
    </row>
    <row r="291" spans="1:8" x14ac:dyDescent="0.3">
      <c r="A291" t="s">
        <v>6</v>
      </c>
      <c r="B291" t="s">
        <v>21</v>
      </c>
      <c r="C291" t="str">
        <f t="shared" si="8"/>
        <v>2015</v>
      </c>
      <c r="D291" t="s">
        <v>50</v>
      </c>
      <c r="E291">
        <v>-510</v>
      </c>
      <c r="F291">
        <f t="shared" si="9"/>
        <v>-51000000</v>
      </c>
      <c r="G291">
        <v>28.2</v>
      </c>
      <c r="H291">
        <v>16.2</v>
      </c>
    </row>
    <row r="292" spans="1:8" x14ac:dyDescent="0.3">
      <c r="A292" t="s">
        <v>6</v>
      </c>
      <c r="B292" t="s">
        <v>22</v>
      </c>
      <c r="C292" t="str">
        <f t="shared" si="8"/>
        <v>2015</v>
      </c>
      <c r="D292" t="s">
        <v>50</v>
      </c>
      <c r="E292">
        <v>3150</v>
      </c>
      <c r="F292">
        <f t="shared" si="9"/>
        <v>315000000</v>
      </c>
      <c r="G292">
        <v>3.3</v>
      </c>
      <c r="H292">
        <v>96.5</v>
      </c>
    </row>
    <row r="293" spans="1:8" x14ac:dyDescent="0.3">
      <c r="A293" t="s">
        <v>6</v>
      </c>
      <c r="B293" t="s">
        <v>23</v>
      </c>
      <c r="C293" t="str">
        <f t="shared" si="8"/>
        <v>2015</v>
      </c>
      <c r="D293" t="s">
        <v>50</v>
      </c>
      <c r="E293">
        <v>1280</v>
      </c>
      <c r="F293">
        <f t="shared" si="9"/>
        <v>128000000</v>
      </c>
      <c r="G293">
        <v>15.6</v>
      </c>
      <c r="H293">
        <v>84.7</v>
      </c>
    </row>
    <row r="294" spans="1:8" x14ac:dyDescent="0.3">
      <c r="A294" t="s">
        <v>6</v>
      </c>
      <c r="B294" t="s">
        <v>24</v>
      </c>
      <c r="C294" t="str">
        <f t="shared" si="8"/>
        <v>2015</v>
      </c>
      <c r="D294" t="s">
        <v>50</v>
      </c>
      <c r="E294">
        <v>5.6870163869999999</v>
      </c>
      <c r="F294">
        <f t="shared" si="9"/>
        <v>568701.63870000001</v>
      </c>
      <c r="G294">
        <v>19.100000000000001</v>
      </c>
      <c r="H294">
        <v>55.6</v>
      </c>
    </row>
    <row r="295" spans="1:8" x14ac:dyDescent="0.3">
      <c r="A295" t="s">
        <v>6</v>
      </c>
      <c r="B295" t="s">
        <v>25</v>
      </c>
      <c r="C295" t="str">
        <f t="shared" si="8"/>
        <v>2015</v>
      </c>
      <c r="D295" t="s">
        <v>50</v>
      </c>
      <c r="E295">
        <v>5610</v>
      </c>
      <c r="F295">
        <f t="shared" si="9"/>
        <v>561000000</v>
      </c>
      <c r="G295">
        <v>4.2</v>
      </c>
      <c r="H295">
        <v>95.1</v>
      </c>
    </row>
    <row r="296" spans="1:8" x14ac:dyDescent="0.3">
      <c r="A296" t="s">
        <v>6</v>
      </c>
      <c r="B296" t="s">
        <v>26</v>
      </c>
      <c r="C296" t="str">
        <f t="shared" si="8"/>
        <v>2015</v>
      </c>
      <c r="D296" t="s">
        <v>50</v>
      </c>
      <c r="E296">
        <v>24290</v>
      </c>
      <c r="F296">
        <f t="shared" si="9"/>
        <v>2429000000</v>
      </c>
      <c r="G296">
        <v>9.3000000000000007</v>
      </c>
      <c r="H296">
        <v>82.8</v>
      </c>
    </row>
    <row r="297" spans="1:8" x14ac:dyDescent="0.3">
      <c r="A297" t="s">
        <v>6</v>
      </c>
      <c r="B297" t="s">
        <v>27</v>
      </c>
      <c r="C297" t="str">
        <f t="shared" si="8"/>
        <v>2015</v>
      </c>
      <c r="D297" t="s">
        <v>50</v>
      </c>
      <c r="E297">
        <v>-7360</v>
      </c>
      <c r="F297">
        <f t="shared" si="9"/>
        <v>-736000000</v>
      </c>
      <c r="G297">
        <v>90.5</v>
      </c>
      <c r="H297">
        <v>11.5</v>
      </c>
    </row>
    <row r="298" spans="1:8" x14ac:dyDescent="0.3">
      <c r="A298" t="s">
        <v>6</v>
      </c>
      <c r="B298" t="s">
        <v>28</v>
      </c>
      <c r="C298" t="str">
        <f t="shared" si="8"/>
        <v>2015</v>
      </c>
      <c r="D298" t="s">
        <v>50</v>
      </c>
      <c r="E298">
        <v>250</v>
      </c>
      <c r="F298">
        <f t="shared" si="9"/>
        <v>25000000</v>
      </c>
      <c r="G298">
        <v>7.8</v>
      </c>
      <c r="H298">
        <v>32.799999999999997</v>
      </c>
    </row>
    <row r="299" spans="1:8" x14ac:dyDescent="0.3">
      <c r="A299" t="s">
        <v>6</v>
      </c>
      <c r="B299" t="s">
        <v>29</v>
      </c>
      <c r="C299" t="str">
        <f t="shared" si="8"/>
        <v>2015</v>
      </c>
      <c r="D299" t="s">
        <v>50</v>
      </c>
      <c r="E299">
        <v>880</v>
      </c>
      <c r="F299">
        <f t="shared" si="9"/>
        <v>88000000</v>
      </c>
      <c r="G299">
        <v>10.9</v>
      </c>
      <c r="H299">
        <v>78.8</v>
      </c>
    </row>
    <row r="300" spans="1:8" x14ac:dyDescent="0.3">
      <c r="A300" t="s">
        <v>6</v>
      </c>
      <c r="B300" t="s">
        <v>30</v>
      </c>
      <c r="C300" t="str">
        <f t="shared" si="8"/>
        <v>2015</v>
      </c>
      <c r="D300" t="s">
        <v>50</v>
      </c>
      <c r="E300">
        <v>220</v>
      </c>
      <c r="F300">
        <f t="shared" si="9"/>
        <v>22000000</v>
      </c>
      <c r="G300">
        <v>13.5</v>
      </c>
      <c r="H300">
        <v>71.099999999999994</v>
      </c>
    </row>
    <row r="301" spans="1:8" x14ac:dyDescent="0.3">
      <c r="A301" t="s">
        <v>6</v>
      </c>
      <c r="B301" t="s">
        <v>31</v>
      </c>
      <c r="C301" t="str">
        <f t="shared" si="8"/>
        <v>2015</v>
      </c>
      <c r="D301" t="s">
        <v>50</v>
      </c>
      <c r="E301">
        <v>1670</v>
      </c>
      <c r="F301">
        <f t="shared" si="9"/>
        <v>167000000</v>
      </c>
      <c r="G301">
        <v>2.4</v>
      </c>
      <c r="H301">
        <v>88.2</v>
      </c>
    </row>
    <row r="302" spans="1:8" x14ac:dyDescent="0.3">
      <c r="A302" t="s">
        <v>6</v>
      </c>
      <c r="B302" t="s">
        <v>32</v>
      </c>
      <c r="C302" t="str">
        <f t="shared" si="8"/>
        <v>2015</v>
      </c>
      <c r="D302" t="s">
        <v>50</v>
      </c>
      <c r="E302">
        <v>-1510</v>
      </c>
      <c r="F302">
        <f t="shared" si="9"/>
        <v>-151000000</v>
      </c>
      <c r="G302">
        <v>5.9</v>
      </c>
      <c r="H302">
        <v>85.4</v>
      </c>
    </row>
    <row r="303" spans="1:8" x14ac:dyDescent="0.3">
      <c r="A303" t="s">
        <v>6</v>
      </c>
      <c r="B303" t="s">
        <v>33</v>
      </c>
      <c r="C303" t="str">
        <f t="shared" si="8"/>
        <v>2015</v>
      </c>
      <c r="D303" t="s">
        <v>50</v>
      </c>
      <c r="E303">
        <v>1250</v>
      </c>
      <c r="F303">
        <f t="shared" si="9"/>
        <v>125000000</v>
      </c>
      <c r="G303">
        <v>0.9</v>
      </c>
      <c r="H303">
        <v>99.6</v>
      </c>
    </row>
    <row r="304" spans="1:8" x14ac:dyDescent="0.3">
      <c r="A304" t="s">
        <v>6</v>
      </c>
      <c r="B304" t="s">
        <v>34</v>
      </c>
      <c r="C304" t="str">
        <f t="shared" si="8"/>
        <v>2015</v>
      </c>
      <c r="D304" t="s">
        <v>50</v>
      </c>
      <c r="E304">
        <v>2190</v>
      </c>
      <c r="F304">
        <f t="shared" si="9"/>
        <v>219000000</v>
      </c>
      <c r="G304">
        <v>0.3</v>
      </c>
      <c r="H304">
        <v>99.5</v>
      </c>
    </row>
    <row r="305" spans="1:8" x14ac:dyDescent="0.3">
      <c r="A305" t="s">
        <v>6</v>
      </c>
      <c r="B305" t="s">
        <v>35</v>
      </c>
      <c r="C305" t="str">
        <f t="shared" si="8"/>
        <v>2015</v>
      </c>
      <c r="D305" t="s">
        <v>50</v>
      </c>
      <c r="E305">
        <v>210</v>
      </c>
      <c r="F305">
        <f t="shared" si="9"/>
        <v>21000000</v>
      </c>
      <c r="G305">
        <v>4.2</v>
      </c>
      <c r="H305">
        <v>83.6</v>
      </c>
    </row>
    <row r="306" spans="1:8" x14ac:dyDescent="0.3">
      <c r="A306" t="s">
        <v>6</v>
      </c>
      <c r="B306" t="s">
        <v>36</v>
      </c>
      <c r="C306" t="str">
        <f t="shared" si="8"/>
        <v>2015</v>
      </c>
      <c r="D306" t="s">
        <v>50</v>
      </c>
      <c r="E306">
        <v>4330</v>
      </c>
      <c r="F306">
        <f t="shared" si="9"/>
        <v>433000000</v>
      </c>
      <c r="G306">
        <v>3.1</v>
      </c>
      <c r="H306">
        <v>98.8</v>
      </c>
    </row>
    <row r="307" spans="1:8" x14ac:dyDescent="0.3">
      <c r="A307" t="s">
        <v>6</v>
      </c>
      <c r="B307" t="s">
        <v>37</v>
      </c>
      <c r="C307" t="str">
        <f t="shared" si="8"/>
        <v>2015</v>
      </c>
      <c r="D307" t="s">
        <v>50</v>
      </c>
      <c r="E307">
        <v>2780</v>
      </c>
      <c r="F307">
        <f t="shared" si="9"/>
        <v>278000000</v>
      </c>
      <c r="G307">
        <v>0</v>
      </c>
      <c r="H307">
        <v>82.8</v>
      </c>
    </row>
    <row r="308" spans="1:8" x14ac:dyDescent="0.3">
      <c r="A308" t="s">
        <v>6</v>
      </c>
      <c r="B308" t="s">
        <v>39</v>
      </c>
      <c r="C308" t="str">
        <f t="shared" si="8"/>
        <v>2015</v>
      </c>
      <c r="D308" t="s">
        <v>50</v>
      </c>
      <c r="E308">
        <v>440</v>
      </c>
      <c r="F308">
        <f t="shared" si="9"/>
        <v>44000000</v>
      </c>
      <c r="G308">
        <v>3.5</v>
      </c>
      <c r="H308">
        <v>80.2</v>
      </c>
    </row>
    <row r="309" spans="1:8" x14ac:dyDescent="0.3">
      <c r="A309" t="s">
        <v>6</v>
      </c>
      <c r="B309" t="s">
        <v>40</v>
      </c>
      <c r="C309" t="str">
        <f t="shared" si="8"/>
        <v>2015</v>
      </c>
      <c r="D309" t="s">
        <v>50</v>
      </c>
      <c r="E309">
        <v>2010</v>
      </c>
      <c r="F309">
        <f t="shared" si="9"/>
        <v>201000000</v>
      </c>
      <c r="G309">
        <v>4.2</v>
      </c>
      <c r="H309">
        <v>96.6</v>
      </c>
    </row>
    <row r="310" spans="1:8" x14ac:dyDescent="0.3">
      <c r="A310" t="s">
        <v>6</v>
      </c>
      <c r="B310" t="s">
        <v>41</v>
      </c>
      <c r="C310" t="str">
        <f t="shared" si="8"/>
        <v>2015</v>
      </c>
      <c r="D310" t="s">
        <v>50</v>
      </c>
      <c r="E310">
        <v>700</v>
      </c>
      <c r="F310">
        <f t="shared" si="9"/>
        <v>70000000</v>
      </c>
      <c r="G310">
        <v>2.5</v>
      </c>
      <c r="H310">
        <v>97.7</v>
      </c>
    </row>
    <row r="311" spans="1:8" x14ac:dyDescent="0.3">
      <c r="A311" t="s">
        <v>6</v>
      </c>
      <c r="B311" t="s">
        <v>42</v>
      </c>
      <c r="C311" t="str">
        <f t="shared" si="8"/>
        <v>2015</v>
      </c>
      <c r="D311" t="s">
        <v>50</v>
      </c>
      <c r="E311">
        <v>60</v>
      </c>
      <c r="F311">
        <f t="shared" si="9"/>
        <v>6000000</v>
      </c>
      <c r="G311">
        <v>7.3</v>
      </c>
      <c r="H311">
        <v>84.5</v>
      </c>
    </row>
    <row r="312" spans="1:8" x14ac:dyDescent="0.3">
      <c r="A312" t="s">
        <v>6</v>
      </c>
      <c r="B312" t="s">
        <v>7</v>
      </c>
      <c r="C312" t="str">
        <f t="shared" si="8"/>
        <v>2014</v>
      </c>
      <c r="D312" t="s">
        <v>51</v>
      </c>
      <c r="E312">
        <v>440</v>
      </c>
      <c r="F312">
        <f t="shared" si="9"/>
        <v>44000000</v>
      </c>
      <c r="G312">
        <v>21.7</v>
      </c>
      <c r="H312">
        <v>57.6</v>
      </c>
    </row>
    <row r="313" spans="1:8" x14ac:dyDescent="0.3">
      <c r="A313" t="s">
        <v>6</v>
      </c>
      <c r="B313" t="s">
        <v>9</v>
      </c>
      <c r="C313" t="str">
        <f t="shared" si="8"/>
        <v>2014</v>
      </c>
      <c r="D313" t="s">
        <v>51</v>
      </c>
      <c r="E313">
        <v>7750</v>
      </c>
      <c r="F313">
        <f t="shared" si="9"/>
        <v>775000000</v>
      </c>
      <c r="G313">
        <v>2.7</v>
      </c>
      <c r="H313">
        <v>95.6</v>
      </c>
    </row>
    <row r="314" spans="1:8" x14ac:dyDescent="0.3">
      <c r="A314" t="s">
        <v>6</v>
      </c>
      <c r="B314" t="s">
        <v>10</v>
      </c>
      <c r="C314" t="str">
        <f t="shared" si="8"/>
        <v>2014</v>
      </c>
      <c r="D314" t="s">
        <v>51</v>
      </c>
      <c r="E314">
        <v>50</v>
      </c>
      <c r="F314">
        <f t="shared" si="9"/>
        <v>5000000</v>
      </c>
      <c r="G314">
        <v>70.8</v>
      </c>
      <c r="H314">
        <v>10.3</v>
      </c>
    </row>
    <row r="315" spans="1:8" x14ac:dyDescent="0.3">
      <c r="A315" t="s">
        <v>6</v>
      </c>
      <c r="B315" t="s">
        <v>11</v>
      </c>
      <c r="C315" t="str">
        <f t="shared" si="8"/>
        <v>2014</v>
      </c>
      <c r="D315" t="s">
        <v>51</v>
      </c>
      <c r="E315">
        <v>770</v>
      </c>
      <c r="F315">
        <f t="shared" si="9"/>
        <v>77000000</v>
      </c>
      <c r="G315">
        <v>11.2</v>
      </c>
      <c r="H315">
        <v>22.9</v>
      </c>
    </row>
    <row r="316" spans="1:8" x14ac:dyDescent="0.3">
      <c r="A316" t="s">
        <v>6</v>
      </c>
      <c r="B316" t="s">
        <v>12</v>
      </c>
      <c r="C316" t="str">
        <f t="shared" si="8"/>
        <v>2014</v>
      </c>
      <c r="D316" t="s">
        <v>51</v>
      </c>
      <c r="E316">
        <v>3940</v>
      </c>
      <c r="F316">
        <f t="shared" si="9"/>
        <v>394000000</v>
      </c>
      <c r="G316">
        <v>12.2</v>
      </c>
      <c r="H316">
        <v>64.7</v>
      </c>
    </row>
    <row r="317" spans="1:8" x14ac:dyDescent="0.3">
      <c r="A317" t="s">
        <v>6</v>
      </c>
      <c r="B317" t="s">
        <v>13</v>
      </c>
      <c r="C317" t="str">
        <f t="shared" si="8"/>
        <v>2014</v>
      </c>
      <c r="D317" t="s">
        <v>51</v>
      </c>
      <c r="E317">
        <v>500</v>
      </c>
      <c r="F317">
        <f t="shared" si="9"/>
        <v>50000000</v>
      </c>
      <c r="G317">
        <v>4.2</v>
      </c>
      <c r="H317">
        <v>72.7</v>
      </c>
    </row>
    <row r="318" spans="1:8" x14ac:dyDescent="0.3">
      <c r="A318" t="s">
        <v>6</v>
      </c>
      <c r="B318" t="s">
        <v>14</v>
      </c>
      <c r="C318" t="str">
        <f t="shared" si="8"/>
        <v>2014</v>
      </c>
      <c r="D318" t="s">
        <v>51</v>
      </c>
      <c r="E318">
        <v>1990</v>
      </c>
      <c r="F318">
        <f t="shared" si="9"/>
        <v>199000000</v>
      </c>
      <c r="G318">
        <v>4.4000000000000004</v>
      </c>
      <c r="H318">
        <v>94.5</v>
      </c>
    </row>
    <row r="319" spans="1:8" x14ac:dyDescent="0.3">
      <c r="A319" t="s">
        <v>6</v>
      </c>
      <c r="B319" t="s">
        <v>15</v>
      </c>
      <c r="C319" t="str">
        <f t="shared" si="8"/>
        <v>2014</v>
      </c>
      <c r="D319" t="s">
        <v>51</v>
      </c>
      <c r="E319">
        <v>780</v>
      </c>
      <c r="F319">
        <f t="shared" si="9"/>
        <v>78000000</v>
      </c>
      <c r="G319">
        <v>0.1</v>
      </c>
      <c r="H319">
        <v>91.5</v>
      </c>
    </row>
    <row r="320" spans="1:8" x14ac:dyDescent="0.3">
      <c r="A320" t="s">
        <v>6</v>
      </c>
      <c r="B320" t="s">
        <v>16</v>
      </c>
      <c r="C320" t="str">
        <f t="shared" si="8"/>
        <v>2014</v>
      </c>
      <c r="D320" t="s">
        <v>51</v>
      </c>
      <c r="E320">
        <v>-810</v>
      </c>
      <c r="F320">
        <f t="shared" si="9"/>
        <v>-81000000</v>
      </c>
      <c r="G320">
        <v>11.3</v>
      </c>
      <c r="H320">
        <v>74.2</v>
      </c>
    </row>
    <row r="321" spans="1:8" x14ac:dyDescent="0.3">
      <c r="A321" t="s">
        <v>6</v>
      </c>
      <c r="B321" t="s">
        <v>17</v>
      </c>
      <c r="C321" t="str">
        <f t="shared" si="8"/>
        <v>2014</v>
      </c>
      <c r="D321" t="s">
        <v>51</v>
      </c>
      <c r="E321">
        <v>4460</v>
      </c>
      <c r="F321">
        <f t="shared" si="9"/>
        <v>446000000</v>
      </c>
      <c r="G321">
        <v>2.4</v>
      </c>
      <c r="H321">
        <v>98.5</v>
      </c>
    </row>
    <row r="322" spans="1:8" x14ac:dyDescent="0.3">
      <c r="A322" t="s">
        <v>6</v>
      </c>
      <c r="B322" t="s">
        <v>18</v>
      </c>
      <c r="C322" t="str">
        <f t="shared" si="8"/>
        <v>2014</v>
      </c>
      <c r="D322" t="s">
        <v>51</v>
      </c>
      <c r="E322">
        <v>1620</v>
      </c>
      <c r="F322">
        <f t="shared" si="9"/>
        <v>162000000</v>
      </c>
      <c r="G322">
        <v>8.6</v>
      </c>
      <c r="H322">
        <v>99.9</v>
      </c>
    </row>
    <row r="323" spans="1:8" x14ac:dyDescent="0.3">
      <c r="A323" t="s">
        <v>6</v>
      </c>
      <c r="B323" t="s">
        <v>19</v>
      </c>
      <c r="C323" t="str">
        <f t="shared" ref="C323:C386" si="10">RIGHT(D323,4)</f>
        <v>2014</v>
      </c>
      <c r="D323" t="s">
        <v>51</v>
      </c>
      <c r="E323">
        <v>5990</v>
      </c>
      <c r="F323">
        <f t="shared" ref="F323:F386" si="11">E323*100000</f>
        <v>599000000</v>
      </c>
      <c r="G323">
        <v>19.600000000000001</v>
      </c>
      <c r="H323">
        <v>78.7</v>
      </c>
    </row>
    <row r="324" spans="1:8" x14ac:dyDescent="0.3">
      <c r="A324" t="s">
        <v>6</v>
      </c>
      <c r="B324" t="s">
        <v>20</v>
      </c>
      <c r="C324" t="str">
        <f t="shared" si="10"/>
        <v>2014</v>
      </c>
      <c r="D324" t="s">
        <v>51</v>
      </c>
      <c r="E324">
        <v>244.53171499999999</v>
      </c>
      <c r="F324">
        <f t="shared" si="11"/>
        <v>24453171.5</v>
      </c>
      <c r="G324">
        <v>6.4</v>
      </c>
      <c r="H324">
        <v>55.8</v>
      </c>
    </row>
    <row r="325" spans="1:8" x14ac:dyDescent="0.3">
      <c r="A325" t="s">
        <v>6</v>
      </c>
      <c r="B325" t="s">
        <v>21</v>
      </c>
      <c r="C325" t="str">
        <f t="shared" si="10"/>
        <v>2014</v>
      </c>
      <c r="D325" t="s">
        <v>51</v>
      </c>
      <c r="E325">
        <v>-450</v>
      </c>
      <c r="F325">
        <f t="shared" si="11"/>
        <v>-45000000</v>
      </c>
      <c r="G325">
        <v>35.299999999999997</v>
      </c>
      <c r="H325">
        <v>6.3</v>
      </c>
    </row>
    <row r="326" spans="1:8" x14ac:dyDescent="0.3">
      <c r="A326" t="s">
        <v>6</v>
      </c>
      <c r="B326" t="s">
        <v>22</v>
      </c>
      <c r="C326" t="str">
        <f t="shared" si="10"/>
        <v>2014</v>
      </c>
      <c r="D326" t="s">
        <v>51</v>
      </c>
      <c r="E326">
        <v>3030</v>
      </c>
      <c r="F326">
        <f t="shared" si="11"/>
        <v>303000000</v>
      </c>
      <c r="G326">
        <v>3.8</v>
      </c>
      <c r="H326">
        <v>97.9</v>
      </c>
    </row>
    <row r="327" spans="1:8" x14ac:dyDescent="0.3">
      <c r="A327" t="s">
        <v>6</v>
      </c>
      <c r="B327" t="s">
        <v>23</v>
      </c>
      <c r="C327" t="str">
        <f t="shared" si="10"/>
        <v>2014</v>
      </c>
      <c r="D327" t="s">
        <v>51</v>
      </c>
      <c r="E327">
        <v>4650</v>
      </c>
      <c r="F327">
        <f t="shared" si="11"/>
        <v>465000000</v>
      </c>
      <c r="G327">
        <v>16</v>
      </c>
      <c r="H327">
        <v>86</v>
      </c>
    </row>
    <row r="328" spans="1:8" x14ac:dyDescent="0.3">
      <c r="A328" t="s">
        <v>6</v>
      </c>
      <c r="B328" t="s">
        <v>24</v>
      </c>
      <c r="C328" t="str">
        <f t="shared" si="10"/>
        <v>2014</v>
      </c>
      <c r="D328" t="s">
        <v>51</v>
      </c>
      <c r="E328">
        <v>5.4682849879999997</v>
      </c>
      <c r="F328">
        <f t="shared" si="11"/>
        <v>546828.49879999994</v>
      </c>
      <c r="G328">
        <v>6.4</v>
      </c>
      <c r="H328">
        <v>55.8</v>
      </c>
    </row>
    <row r="329" spans="1:8" x14ac:dyDescent="0.3">
      <c r="A329" t="s">
        <v>6</v>
      </c>
      <c r="B329" t="s">
        <v>25</v>
      </c>
      <c r="C329" t="str">
        <f t="shared" si="10"/>
        <v>2014</v>
      </c>
      <c r="D329" t="s">
        <v>51</v>
      </c>
      <c r="E329">
        <v>7410</v>
      </c>
      <c r="F329">
        <f t="shared" si="11"/>
        <v>741000000</v>
      </c>
      <c r="G329">
        <v>1.4</v>
      </c>
      <c r="H329">
        <v>95.2</v>
      </c>
    </row>
    <row r="330" spans="1:8" x14ac:dyDescent="0.3">
      <c r="A330" t="s">
        <v>6</v>
      </c>
      <c r="B330" t="s">
        <v>26</v>
      </c>
      <c r="C330" t="str">
        <f t="shared" si="10"/>
        <v>2014</v>
      </c>
      <c r="D330" t="s">
        <v>51</v>
      </c>
      <c r="E330">
        <v>41060</v>
      </c>
      <c r="F330">
        <f t="shared" si="11"/>
        <v>4106000000</v>
      </c>
      <c r="G330">
        <v>11.7</v>
      </c>
      <c r="H330">
        <v>92</v>
      </c>
    </row>
    <row r="331" spans="1:8" x14ac:dyDescent="0.3">
      <c r="A331" t="s">
        <v>6</v>
      </c>
      <c r="B331" t="s">
        <v>27</v>
      </c>
      <c r="C331" t="str">
        <f t="shared" si="10"/>
        <v>2014</v>
      </c>
      <c r="D331" t="s">
        <v>51</v>
      </c>
      <c r="E331">
        <v>-640</v>
      </c>
      <c r="F331">
        <f t="shared" si="11"/>
        <v>-64000000</v>
      </c>
      <c r="G331">
        <v>95.8</v>
      </c>
      <c r="H331">
        <v>13.1</v>
      </c>
    </row>
    <row r="332" spans="1:8" x14ac:dyDescent="0.3">
      <c r="A332" t="s">
        <v>6</v>
      </c>
      <c r="B332" t="s">
        <v>28</v>
      </c>
      <c r="C332" t="str">
        <f t="shared" si="10"/>
        <v>2014</v>
      </c>
      <c r="D332" t="s">
        <v>51</v>
      </c>
      <c r="E332">
        <v>950</v>
      </c>
      <c r="F332">
        <f t="shared" si="11"/>
        <v>95000000</v>
      </c>
      <c r="G332">
        <v>8.1999999999999993</v>
      </c>
      <c r="H332">
        <v>26.1</v>
      </c>
    </row>
    <row r="333" spans="1:8" x14ac:dyDescent="0.3">
      <c r="A333" t="s">
        <v>6</v>
      </c>
      <c r="B333" t="s">
        <v>29</v>
      </c>
      <c r="C333" t="str">
        <f t="shared" si="10"/>
        <v>2014</v>
      </c>
      <c r="D333" t="s">
        <v>51</v>
      </c>
      <c r="E333">
        <v>390</v>
      </c>
      <c r="F333">
        <f t="shared" si="11"/>
        <v>39000000</v>
      </c>
      <c r="G333">
        <v>11.5</v>
      </c>
      <c r="H333">
        <v>50.6</v>
      </c>
    </row>
    <row r="334" spans="1:8" x14ac:dyDescent="0.3">
      <c r="A334" t="s">
        <v>6</v>
      </c>
      <c r="B334" t="s">
        <v>30</v>
      </c>
      <c r="C334" t="str">
        <f t="shared" si="10"/>
        <v>2014</v>
      </c>
      <c r="D334" t="s">
        <v>51</v>
      </c>
      <c r="E334">
        <v>60</v>
      </c>
      <c r="F334">
        <f t="shared" si="11"/>
        <v>6000000</v>
      </c>
      <c r="G334">
        <v>16.2</v>
      </c>
      <c r="H334">
        <v>65.2</v>
      </c>
    </row>
    <row r="335" spans="1:8" x14ac:dyDescent="0.3">
      <c r="A335" t="s">
        <v>6</v>
      </c>
      <c r="B335" t="s">
        <v>31</v>
      </c>
      <c r="C335" t="str">
        <f t="shared" si="10"/>
        <v>2014</v>
      </c>
      <c r="D335" t="s">
        <v>51</v>
      </c>
      <c r="E335">
        <v>1560</v>
      </c>
      <c r="F335">
        <f t="shared" si="11"/>
        <v>156000000</v>
      </c>
      <c r="G335">
        <v>2.9</v>
      </c>
      <c r="H335">
        <v>100</v>
      </c>
    </row>
    <row r="336" spans="1:8" x14ac:dyDescent="0.3">
      <c r="A336" t="s">
        <v>6</v>
      </c>
      <c r="B336" t="s">
        <v>32</v>
      </c>
      <c r="C336" t="str">
        <f t="shared" si="10"/>
        <v>2014</v>
      </c>
      <c r="D336" t="s">
        <v>51</v>
      </c>
      <c r="E336">
        <v>-590</v>
      </c>
      <c r="F336">
        <f t="shared" si="11"/>
        <v>-59000000</v>
      </c>
      <c r="G336">
        <v>9.8000000000000007</v>
      </c>
      <c r="H336">
        <v>51.1</v>
      </c>
    </row>
    <row r="337" spans="1:8" x14ac:dyDescent="0.3">
      <c r="A337" t="s">
        <v>6</v>
      </c>
      <c r="B337" t="s">
        <v>33</v>
      </c>
      <c r="C337" t="str">
        <f t="shared" si="10"/>
        <v>2014</v>
      </c>
      <c r="D337" t="s">
        <v>51</v>
      </c>
      <c r="E337">
        <v>2130</v>
      </c>
      <c r="F337">
        <f t="shared" si="11"/>
        <v>213000000</v>
      </c>
      <c r="G337">
        <v>0.8</v>
      </c>
      <c r="H337">
        <v>97.4</v>
      </c>
    </row>
    <row r="338" spans="1:8" x14ac:dyDescent="0.3">
      <c r="A338" t="s">
        <v>6</v>
      </c>
      <c r="B338" t="s">
        <v>34</v>
      </c>
      <c r="C338" t="str">
        <f t="shared" si="10"/>
        <v>2014</v>
      </c>
      <c r="D338" t="s">
        <v>51</v>
      </c>
      <c r="E338">
        <v>2630</v>
      </c>
      <c r="F338">
        <f t="shared" si="11"/>
        <v>263000000</v>
      </c>
      <c r="G338">
        <v>0.3</v>
      </c>
      <c r="H338">
        <v>99.8</v>
      </c>
    </row>
    <row r="339" spans="1:8" x14ac:dyDescent="0.3">
      <c r="A339" t="s">
        <v>6</v>
      </c>
      <c r="B339" t="s">
        <v>35</v>
      </c>
      <c r="C339" t="str">
        <f t="shared" si="10"/>
        <v>2014</v>
      </c>
      <c r="D339" t="s">
        <v>51</v>
      </c>
      <c r="E339">
        <v>270</v>
      </c>
      <c r="F339">
        <f t="shared" si="11"/>
        <v>27000000</v>
      </c>
      <c r="G339">
        <v>5.8</v>
      </c>
      <c r="H339">
        <v>26.9</v>
      </c>
    </row>
    <row r="340" spans="1:8" x14ac:dyDescent="0.3">
      <c r="A340" t="s">
        <v>6</v>
      </c>
      <c r="B340" t="s">
        <v>36</v>
      </c>
      <c r="C340" t="str">
        <f t="shared" si="10"/>
        <v>2014</v>
      </c>
      <c r="D340" t="s">
        <v>51</v>
      </c>
      <c r="E340">
        <v>4140</v>
      </c>
      <c r="F340">
        <f t="shared" si="11"/>
        <v>414000000</v>
      </c>
      <c r="G340">
        <v>4.7</v>
      </c>
      <c r="H340">
        <v>93.2</v>
      </c>
    </row>
    <row r="341" spans="1:8" x14ac:dyDescent="0.3">
      <c r="A341" t="s">
        <v>6</v>
      </c>
      <c r="B341" t="s">
        <v>37</v>
      </c>
      <c r="C341" t="str">
        <f t="shared" si="10"/>
        <v>2014</v>
      </c>
      <c r="D341" t="s">
        <v>51</v>
      </c>
      <c r="E341">
        <v>0</v>
      </c>
      <c r="F341">
        <f t="shared" si="11"/>
        <v>0</v>
      </c>
      <c r="G341">
        <v>0</v>
      </c>
      <c r="H341">
        <v>0</v>
      </c>
    </row>
    <row r="342" spans="1:8" x14ac:dyDescent="0.3">
      <c r="A342" t="s">
        <v>6</v>
      </c>
      <c r="B342" t="s">
        <v>39</v>
      </c>
      <c r="C342" t="str">
        <f t="shared" si="10"/>
        <v>2014</v>
      </c>
      <c r="D342" t="s">
        <v>51</v>
      </c>
      <c r="E342">
        <v>2800</v>
      </c>
      <c r="F342">
        <f t="shared" si="11"/>
        <v>280000000</v>
      </c>
      <c r="G342">
        <v>3.5</v>
      </c>
      <c r="H342">
        <v>84.6</v>
      </c>
    </row>
    <row r="343" spans="1:8" x14ac:dyDescent="0.3">
      <c r="A343" t="s">
        <v>6</v>
      </c>
      <c r="B343" t="s">
        <v>40</v>
      </c>
      <c r="C343" t="str">
        <f t="shared" si="10"/>
        <v>2014</v>
      </c>
      <c r="D343" t="s">
        <v>51</v>
      </c>
      <c r="E343">
        <v>4040</v>
      </c>
      <c r="F343">
        <f t="shared" si="11"/>
        <v>404000000</v>
      </c>
      <c r="G343">
        <v>4.8</v>
      </c>
      <c r="H343">
        <v>95.2</v>
      </c>
    </row>
    <row r="344" spans="1:8" x14ac:dyDescent="0.3">
      <c r="A344" t="s">
        <v>6</v>
      </c>
      <c r="B344" t="s">
        <v>41</v>
      </c>
      <c r="C344" t="str">
        <f t="shared" si="10"/>
        <v>2014</v>
      </c>
      <c r="D344" t="s">
        <v>51</v>
      </c>
      <c r="E344">
        <v>920</v>
      </c>
      <c r="F344">
        <f t="shared" si="11"/>
        <v>92000000</v>
      </c>
      <c r="G344">
        <v>2.9</v>
      </c>
      <c r="H344">
        <v>94.8</v>
      </c>
    </row>
    <row r="345" spans="1:8" x14ac:dyDescent="0.3">
      <c r="A345" t="s">
        <v>6</v>
      </c>
      <c r="B345" t="s">
        <v>42</v>
      </c>
      <c r="C345" t="str">
        <f t="shared" si="10"/>
        <v>2014</v>
      </c>
      <c r="D345" t="s">
        <v>51</v>
      </c>
      <c r="E345">
        <v>6110</v>
      </c>
      <c r="F345">
        <f t="shared" si="11"/>
        <v>611000000</v>
      </c>
      <c r="G345">
        <v>7.9</v>
      </c>
      <c r="H345">
        <v>62.3</v>
      </c>
    </row>
    <row r="346" spans="1:8" x14ac:dyDescent="0.3">
      <c r="A346" t="s">
        <v>6</v>
      </c>
      <c r="B346" t="s">
        <v>7</v>
      </c>
      <c r="C346" t="str">
        <f t="shared" si="10"/>
        <v>2011</v>
      </c>
      <c r="D346" t="s">
        <v>52</v>
      </c>
      <c r="E346">
        <v>260</v>
      </c>
      <c r="F346">
        <f t="shared" si="11"/>
        <v>26000000</v>
      </c>
      <c r="G346">
        <v>19.2</v>
      </c>
      <c r="H346">
        <v>70.400000000000006</v>
      </c>
    </row>
    <row r="347" spans="1:8" x14ac:dyDescent="0.3">
      <c r="A347" t="s">
        <v>6</v>
      </c>
      <c r="B347" t="s">
        <v>9</v>
      </c>
      <c r="C347" t="str">
        <f t="shared" si="10"/>
        <v>2011</v>
      </c>
      <c r="D347" t="s">
        <v>52</v>
      </c>
      <c r="E347">
        <v>5407.2425370000001</v>
      </c>
      <c r="F347">
        <f t="shared" si="11"/>
        <v>540724253.70000005</v>
      </c>
      <c r="G347">
        <v>1</v>
      </c>
      <c r="H347">
        <v>96.8</v>
      </c>
    </row>
    <row r="348" spans="1:8" x14ac:dyDescent="0.3">
      <c r="A348" t="s">
        <v>6</v>
      </c>
      <c r="B348" t="s">
        <v>10</v>
      </c>
      <c r="C348" t="str">
        <f t="shared" si="10"/>
        <v>2011</v>
      </c>
      <c r="D348" t="s">
        <v>52</v>
      </c>
      <c r="E348">
        <v>30</v>
      </c>
      <c r="F348">
        <f t="shared" si="11"/>
        <v>3000000</v>
      </c>
      <c r="G348">
        <v>84.4</v>
      </c>
      <c r="H348">
        <v>7.7</v>
      </c>
    </row>
    <row r="349" spans="1:8" x14ac:dyDescent="0.3">
      <c r="A349" t="s">
        <v>6</v>
      </c>
      <c r="B349" t="s">
        <v>11</v>
      </c>
      <c r="C349" t="str">
        <f t="shared" si="10"/>
        <v>2011</v>
      </c>
      <c r="D349" t="s">
        <v>52</v>
      </c>
      <c r="E349">
        <v>2598</v>
      </c>
      <c r="F349">
        <f t="shared" si="11"/>
        <v>259800000</v>
      </c>
      <c r="G349">
        <v>20.6</v>
      </c>
      <c r="H349">
        <v>62.9</v>
      </c>
    </row>
    <row r="350" spans="1:8" x14ac:dyDescent="0.3">
      <c r="A350" t="s">
        <v>6</v>
      </c>
      <c r="B350" t="s">
        <v>12</v>
      </c>
      <c r="C350" t="str">
        <f t="shared" si="10"/>
        <v>2011</v>
      </c>
      <c r="D350" t="s">
        <v>52</v>
      </c>
      <c r="E350">
        <v>637</v>
      </c>
      <c r="F350">
        <f t="shared" si="11"/>
        <v>63700000</v>
      </c>
      <c r="G350">
        <v>24.2</v>
      </c>
      <c r="H350">
        <v>72.099999999999994</v>
      </c>
    </row>
    <row r="351" spans="1:8" x14ac:dyDescent="0.3">
      <c r="A351" t="s">
        <v>6</v>
      </c>
      <c r="B351" t="s">
        <v>13</v>
      </c>
      <c r="C351" t="str">
        <f t="shared" si="10"/>
        <v>2011</v>
      </c>
      <c r="D351" t="s">
        <v>52</v>
      </c>
      <c r="E351">
        <v>318</v>
      </c>
      <c r="F351">
        <f t="shared" si="11"/>
        <v>31800000</v>
      </c>
      <c r="G351">
        <v>13.9</v>
      </c>
      <c r="H351">
        <v>66.599999999999994</v>
      </c>
    </row>
    <row r="352" spans="1:8" x14ac:dyDescent="0.3">
      <c r="A352" t="s">
        <v>6</v>
      </c>
      <c r="B352" t="s">
        <v>14</v>
      </c>
      <c r="C352" t="str">
        <f t="shared" si="10"/>
        <v>2011</v>
      </c>
      <c r="D352" t="s">
        <v>52</v>
      </c>
      <c r="E352">
        <v>1002</v>
      </c>
      <c r="F352">
        <f t="shared" si="11"/>
        <v>100200000</v>
      </c>
      <c r="G352">
        <v>4.7</v>
      </c>
      <c r="H352">
        <v>92.7</v>
      </c>
    </row>
    <row r="353" spans="1:8" x14ac:dyDescent="0.3">
      <c r="A353" t="s">
        <v>6</v>
      </c>
      <c r="B353" t="s">
        <v>15</v>
      </c>
      <c r="C353" t="str">
        <f t="shared" si="10"/>
        <v>2011</v>
      </c>
      <c r="D353" t="s">
        <v>52</v>
      </c>
      <c r="E353">
        <v>3024</v>
      </c>
      <c r="F353">
        <f t="shared" si="11"/>
        <v>302400000</v>
      </c>
      <c r="G353">
        <v>7</v>
      </c>
      <c r="H353">
        <v>90.4</v>
      </c>
    </row>
    <row r="354" spans="1:8" x14ac:dyDescent="0.3">
      <c r="A354" t="s">
        <v>6</v>
      </c>
      <c r="B354" t="s">
        <v>16</v>
      </c>
      <c r="C354" t="str">
        <f t="shared" si="10"/>
        <v>2011</v>
      </c>
      <c r="D354" t="s">
        <v>52</v>
      </c>
      <c r="E354">
        <v>99</v>
      </c>
      <c r="F354">
        <f t="shared" si="11"/>
        <v>9900000</v>
      </c>
      <c r="G354">
        <v>14.8</v>
      </c>
      <c r="H354">
        <v>87.4</v>
      </c>
    </row>
    <row r="355" spans="1:8" x14ac:dyDescent="0.3">
      <c r="A355" t="s">
        <v>6</v>
      </c>
      <c r="B355" t="s">
        <v>17</v>
      </c>
      <c r="C355" t="str">
        <f t="shared" si="10"/>
        <v>2011</v>
      </c>
      <c r="D355" t="s">
        <v>52</v>
      </c>
      <c r="E355">
        <v>1371</v>
      </c>
      <c r="F355">
        <f t="shared" si="11"/>
        <v>137100000</v>
      </c>
      <c r="G355">
        <v>2.1</v>
      </c>
      <c r="H355">
        <v>99.1</v>
      </c>
    </row>
    <row r="356" spans="1:8" x14ac:dyDescent="0.3">
      <c r="A356" t="s">
        <v>6</v>
      </c>
      <c r="B356" t="s">
        <v>18</v>
      </c>
      <c r="C356" t="str">
        <f t="shared" si="10"/>
        <v>2011</v>
      </c>
      <c r="D356" t="s">
        <v>52</v>
      </c>
      <c r="E356">
        <v>501</v>
      </c>
      <c r="F356">
        <f t="shared" si="11"/>
        <v>50100000</v>
      </c>
      <c r="G356">
        <v>0</v>
      </c>
      <c r="H356">
        <v>99.9</v>
      </c>
    </row>
    <row r="357" spans="1:8" x14ac:dyDescent="0.3">
      <c r="A357" t="s">
        <v>6</v>
      </c>
      <c r="B357" t="s">
        <v>19</v>
      </c>
      <c r="C357" t="str">
        <f t="shared" si="10"/>
        <v>2011</v>
      </c>
      <c r="D357" t="s">
        <v>52</v>
      </c>
      <c r="E357">
        <v>4142</v>
      </c>
      <c r="F357">
        <f t="shared" si="11"/>
        <v>414200000</v>
      </c>
      <c r="G357">
        <v>12.6</v>
      </c>
      <c r="H357">
        <v>71.900000000000006</v>
      </c>
    </row>
    <row r="358" spans="1:8" x14ac:dyDescent="0.3">
      <c r="A358" t="s">
        <v>6</v>
      </c>
      <c r="B358" t="s">
        <v>20</v>
      </c>
      <c r="C358" t="str">
        <f t="shared" si="10"/>
        <v>2011</v>
      </c>
      <c r="D358" t="s">
        <v>52</v>
      </c>
      <c r="E358">
        <v>20.540664060000001</v>
      </c>
      <c r="F358">
        <f t="shared" si="11"/>
        <v>2054066.4060000002</v>
      </c>
      <c r="G358">
        <v>26.3</v>
      </c>
      <c r="H358">
        <v>52.5</v>
      </c>
    </row>
    <row r="359" spans="1:8" x14ac:dyDescent="0.3">
      <c r="A359" t="s">
        <v>6</v>
      </c>
      <c r="B359" t="s">
        <v>22</v>
      </c>
      <c r="C359" t="str">
        <f t="shared" si="10"/>
        <v>2011</v>
      </c>
      <c r="D359" t="s">
        <v>52</v>
      </c>
      <c r="E359">
        <v>2900</v>
      </c>
      <c r="F359">
        <f t="shared" si="11"/>
        <v>290000000</v>
      </c>
      <c r="G359">
        <v>4.9000000000000004</v>
      </c>
      <c r="H359">
        <v>97.7</v>
      </c>
    </row>
    <row r="360" spans="1:8" x14ac:dyDescent="0.3">
      <c r="A360" t="s">
        <v>6</v>
      </c>
      <c r="B360" t="s">
        <v>23</v>
      </c>
      <c r="C360" t="str">
        <f t="shared" si="10"/>
        <v>2011</v>
      </c>
      <c r="D360" t="s">
        <v>52</v>
      </c>
      <c r="E360">
        <v>-10116</v>
      </c>
      <c r="F360">
        <f t="shared" si="11"/>
        <v>-1011600000</v>
      </c>
      <c r="G360">
        <v>12.7</v>
      </c>
      <c r="H360">
        <v>85.1</v>
      </c>
    </row>
    <row r="361" spans="1:8" x14ac:dyDescent="0.3">
      <c r="A361" t="s">
        <v>6</v>
      </c>
      <c r="B361" t="s">
        <v>24</v>
      </c>
      <c r="C361" t="str">
        <f t="shared" si="10"/>
        <v>2011</v>
      </c>
      <c r="D361" t="s">
        <v>52</v>
      </c>
      <c r="E361">
        <v>0.45933593900000003</v>
      </c>
      <c r="F361">
        <f t="shared" si="11"/>
        <v>45933.5939</v>
      </c>
      <c r="G361">
        <v>26.3</v>
      </c>
      <c r="H361">
        <v>52.5</v>
      </c>
    </row>
    <row r="362" spans="1:8" x14ac:dyDescent="0.3">
      <c r="A362" t="s">
        <v>6</v>
      </c>
      <c r="B362" t="s">
        <v>25</v>
      </c>
      <c r="C362" t="str">
        <f t="shared" si="10"/>
        <v>2011</v>
      </c>
      <c r="D362" t="s">
        <v>52</v>
      </c>
      <c r="E362">
        <v>6399</v>
      </c>
      <c r="F362">
        <f t="shared" si="11"/>
        <v>639900000</v>
      </c>
      <c r="G362">
        <v>1.5</v>
      </c>
      <c r="H362">
        <v>97.4</v>
      </c>
    </row>
    <row r="363" spans="1:8" x14ac:dyDescent="0.3">
      <c r="A363" t="s">
        <v>6</v>
      </c>
      <c r="B363" t="s">
        <v>26</v>
      </c>
      <c r="C363" t="str">
        <f t="shared" si="10"/>
        <v>2011</v>
      </c>
      <c r="D363" t="s">
        <v>52</v>
      </c>
      <c r="E363">
        <v>17539</v>
      </c>
      <c r="F363">
        <f t="shared" si="11"/>
        <v>1753900000</v>
      </c>
      <c r="G363">
        <v>21.2</v>
      </c>
      <c r="H363">
        <v>83.8</v>
      </c>
    </row>
    <row r="364" spans="1:8" x14ac:dyDescent="0.3">
      <c r="A364" t="s">
        <v>6</v>
      </c>
      <c r="B364" t="s">
        <v>27</v>
      </c>
      <c r="C364" t="str">
        <f t="shared" si="10"/>
        <v>2011</v>
      </c>
      <c r="D364" t="s">
        <v>52</v>
      </c>
      <c r="E364">
        <v>46</v>
      </c>
      <c r="F364">
        <f t="shared" si="11"/>
        <v>4600000</v>
      </c>
      <c r="G364">
        <v>69.099999999999994</v>
      </c>
      <c r="H364">
        <v>19.600000000000001</v>
      </c>
    </row>
    <row r="365" spans="1:8" x14ac:dyDescent="0.3">
      <c r="A365" t="s">
        <v>6</v>
      </c>
      <c r="B365" t="s">
        <v>28</v>
      </c>
      <c r="C365" t="str">
        <f t="shared" si="10"/>
        <v>2011</v>
      </c>
      <c r="D365" t="s">
        <v>52</v>
      </c>
      <c r="E365">
        <v>1118</v>
      </c>
      <c r="F365">
        <f t="shared" si="11"/>
        <v>111800000</v>
      </c>
      <c r="G365">
        <v>13.3</v>
      </c>
      <c r="H365">
        <v>22.1</v>
      </c>
    </row>
    <row r="366" spans="1:8" x14ac:dyDescent="0.3">
      <c r="A366" t="s">
        <v>6</v>
      </c>
      <c r="B366" t="s">
        <v>29</v>
      </c>
      <c r="C366" t="str">
        <f t="shared" si="10"/>
        <v>2011</v>
      </c>
      <c r="D366" t="s">
        <v>52</v>
      </c>
      <c r="E366">
        <v>222</v>
      </c>
      <c r="F366">
        <f t="shared" si="11"/>
        <v>22200000</v>
      </c>
      <c r="G366">
        <v>14.4</v>
      </c>
      <c r="H366">
        <v>63.7</v>
      </c>
    </row>
    <row r="367" spans="1:8" x14ac:dyDescent="0.3">
      <c r="A367" t="s">
        <v>6</v>
      </c>
      <c r="B367" t="s">
        <v>30</v>
      </c>
      <c r="C367" t="str">
        <f t="shared" si="10"/>
        <v>2011</v>
      </c>
      <c r="D367" t="s">
        <v>52</v>
      </c>
      <c r="E367">
        <v>299</v>
      </c>
      <c r="F367">
        <f t="shared" si="11"/>
        <v>29900000</v>
      </c>
      <c r="G367">
        <v>26</v>
      </c>
      <c r="H367">
        <v>68.7</v>
      </c>
    </row>
    <row r="368" spans="1:8" x14ac:dyDescent="0.3">
      <c r="A368" t="s">
        <v>6</v>
      </c>
      <c r="B368" t="s">
        <v>31</v>
      </c>
      <c r="C368" t="str">
        <f t="shared" si="10"/>
        <v>2011</v>
      </c>
      <c r="D368" t="s">
        <v>52</v>
      </c>
      <c r="E368">
        <v>1102</v>
      </c>
      <c r="F368">
        <f t="shared" si="11"/>
        <v>110200000</v>
      </c>
      <c r="G368">
        <v>5.8</v>
      </c>
      <c r="H368">
        <v>97.1</v>
      </c>
    </row>
    <row r="369" spans="1:8" x14ac:dyDescent="0.3">
      <c r="A369" t="s">
        <v>6</v>
      </c>
      <c r="B369" t="s">
        <v>32</v>
      </c>
      <c r="C369" t="str">
        <f t="shared" si="10"/>
        <v>2011</v>
      </c>
      <c r="D369" t="s">
        <v>52</v>
      </c>
      <c r="E369">
        <v>-661</v>
      </c>
      <c r="F369">
        <f t="shared" si="11"/>
        <v>-66100000</v>
      </c>
      <c r="G369">
        <v>12.9</v>
      </c>
      <c r="H369">
        <v>92.4</v>
      </c>
    </row>
    <row r="370" spans="1:8" x14ac:dyDescent="0.3">
      <c r="A370" t="s">
        <v>6</v>
      </c>
      <c r="B370" t="s">
        <v>33</v>
      </c>
      <c r="C370" t="str">
        <f t="shared" si="10"/>
        <v>2011</v>
      </c>
      <c r="D370" t="s">
        <v>52</v>
      </c>
      <c r="E370">
        <v>2718</v>
      </c>
      <c r="F370">
        <f t="shared" si="11"/>
        <v>271800000</v>
      </c>
      <c r="G370">
        <v>0.9</v>
      </c>
      <c r="H370">
        <v>99.4</v>
      </c>
    </row>
    <row r="371" spans="1:8" x14ac:dyDescent="0.3">
      <c r="A371" t="s">
        <v>6</v>
      </c>
      <c r="B371" t="s">
        <v>34</v>
      </c>
      <c r="C371" t="str">
        <f t="shared" si="10"/>
        <v>2011</v>
      </c>
      <c r="D371" t="s">
        <v>52</v>
      </c>
      <c r="E371">
        <v>1958</v>
      </c>
      <c r="F371">
        <f t="shared" si="11"/>
        <v>195800000</v>
      </c>
      <c r="G371">
        <v>0.8</v>
      </c>
      <c r="H371">
        <v>97</v>
      </c>
    </row>
    <row r="372" spans="1:8" x14ac:dyDescent="0.3">
      <c r="A372" t="s">
        <v>6</v>
      </c>
      <c r="B372" t="s">
        <v>35</v>
      </c>
      <c r="C372" t="str">
        <f t="shared" si="10"/>
        <v>2011</v>
      </c>
      <c r="D372" t="s">
        <v>52</v>
      </c>
      <c r="E372">
        <v>285</v>
      </c>
      <c r="F372">
        <f t="shared" si="11"/>
        <v>28500000</v>
      </c>
      <c r="G372">
        <v>5</v>
      </c>
      <c r="H372">
        <v>73</v>
      </c>
    </row>
    <row r="373" spans="1:8" x14ac:dyDescent="0.3">
      <c r="A373" t="s">
        <v>6</v>
      </c>
      <c r="B373" t="s">
        <v>36</v>
      </c>
      <c r="C373" t="str">
        <f t="shared" si="10"/>
        <v>2011</v>
      </c>
      <c r="D373" t="s">
        <v>52</v>
      </c>
      <c r="E373">
        <v>6030</v>
      </c>
      <c r="F373">
        <f t="shared" si="11"/>
        <v>603000000</v>
      </c>
      <c r="G373">
        <v>3.3</v>
      </c>
      <c r="H373">
        <v>98.3</v>
      </c>
    </row>
    <row r="374" spans="1:8" x14ac:dyDescent="0.3">
      <c r="A374" t="s">
        <v>6</v>
      </c>
      <c r="B374" t="s">
        <v>37</v>
      </c>
      <c r="C374" t="str">
        <f t="shared" si="10"/>
        <v>2011</v>
      </c>
      <c r="D374" t="s">
        <v>52</v>
      </c>
      <c r="E374">
        <v>3817.7574629999999</v>
      </c>
      <c r="F374">
        <f t="shared" si="11"/>
        <v>381775746.30000001</v>
      </c>
      <c r="G374">
        <v>1</v>
      </c>
      <c r="H374">
        <v>96.8</v>
      </c>
    </row>
    <row r="375" spans="1:8" x14ac:dyDescent="0.3">
      <c r="A375" t="s">
        <v>6</v>
      </c>
      <c r="B375" t="s">
        <v>39</v>
      </c>
      <c r="C375" t="str">
        <f t="shared" si="10"/>
        <v>2011</v>
      </c>
      <c r="D375" t="s">
        <v>52</v>
      </c>
      <c r="E375">
        <v>1993</v>
      </c>
      <c r="F375">
        <f t="shared" si="11"/>
        <v>199300000</v>
      </c>
      <c r="G375">
        <v>18.100000000000001</v>
      </c>
      <c r="H375">
        <v>65.7</v>
      </c>
    </row>
    <row r="376" spans="1:8" x14ac:dyDescent="0.3">
      <c r="A376" t="s">
        <v>6</v>
      </c>
      <c r="B376" t="s">
        <v>40</v>
      </c>
      <c r="C376" t="str">
        <f t="shared" si="10"/>
        <v>2011</v>
      </c>
      <c r="D376" t="s">
        <v>52</v>
      </c>
      <c r="E376">
        <v>3002</v>
      </c>
      <c r="F376">
        <f t="shared" si="11"/>
        <v>300200000</v>
      </c>
      <c r="G376">
        <v>6.2</v>
      </c>
      <c r="H376">
        <v>93.2</v>
      </c>
    </row>
    <row r="377" spans="1:8" x14ac:dyDescent="0.3">
      <c r="A377" t="s">
        <v>6</v>
      </c>
      <c r="B377" t="s">
        <v>41</v>
      </c>
      <c r="C377" t="str">
        <f t="shared" si="10"/>
        <v>2011</v>
      </c>
      <c r="D377" t="s">
        <v>52</v>
      </c>
      <c r="E377">
        <v>276</v>
      </c>
      <c r="F377">
        <f t="shared" si="11"/>
        <v>27600000</v>
      </c>
      <c r="G377">
        <v>4.9000000000000004</v>
      </c>
      <c r="H377">
        <v>97.2</v>
      </c>
    </row>
    <row r="378" spans="1:8" x14ac:dyDescent="0.3">
      <c r="A378" t="s">
        <v>6</v>
      </c>
      <c r="B378" t="s">
        <v>42</v>
      </c>
      <c r="C378" t="str">
        <f t="shared" si="10"/>
        <v>2011</v>
      </c>
      <c r="D378" t="s">
        <v>52</v>
      </c>
      <c r="E378">
        <v>-5987</v>
      </c>
      <c r="F378">
        <f t="shared" si="11"/>
        <v>-598700000</v>
      </c>
      <c r="G378">
        <v>0</v>
      </c>
      <c r="H378">
        <v>93.2</v>
      </c>
    </row>
    <row r="379" spans="1:8" x14ac:dyDescent="0.3">
      <c r="A379" t="s">
        <v>6</v>
      </c>
      <c r="B379" t="s">
        <v>7</v>
      </c>
      <c r="C379" t="str">
        <f t="shared" si="10"/>
        <v>2010</v>
      </c>
      <c r="D379" t="s">
        <v>53</v>
      </c>
      <c r="E379">
        <v>240</v>
      </c>
      <c r="F379">
        <f t="shared" si="11"/>
        <v>24000000</v>
      </c>
      <c r="G379">
        <v>9.4</v>
      </c>
      <c r="H379">
        <v>92.1</v>
      </c>
    </row>
    <row r="380" spans="1:8" x14ac:dyDescent="0.3">
      <c r="A380" t="s">
        <v>6</v>
      </c>
      <c r="B380" t="s">
        <v>9</v>
      </c>
      <c r="C380" t="str">
        <f t="shared" si="10"/>
        <v>2010</v>
      </c>
      <c r="D380" t="s">
        <v>53</v>
      </c>
      <c r="E380">
        <v>6549.6507430000001</v>
      </c>
      <c r="F380">
        <f t="shared" si="11"/>
        <v>654965074.30000007</v>
      </c>
      <c r="G380">
        <v>2.7</v>
      </c>
      <c r="H380">
        <v>95.6</v>
      </c>
    </row>
    <row r="381" spans="1:8" x14ac:dyDescent="0.3">
      <c r="A381" t="s">
        <v>6</v>
      </c>
      <c r="B381" t="s">
        <v>10</v>
      </c>
      <c r="C381" t="str">
        <f t="shared" si="10"/>
        <v>2010</v>
      </c>
      <c r="D381" t="s">
        <v>53</v>
      </c>
      <c r="E381">
        <v>893</v>
      </c>
      <c r="F381">
        <f t="shared" si="11"/>
        <v>89300000</v>
      </c>
      <c r="G381">
        <v>65</v>
      </c>
      <c r="H381">
        <v>7.7</v>
      </c>
    </row>
    <row r="382" spans="1:8" x14ac:dyDescent="0.3">
      <c r="A382" t="s">
        <v>6</v>
      </c>
      <c r="B382" t="s">
        <v>11</v>
      </c>
      <c r="C382" t="str">
        <f t="shared" si="10"/>
        <v>2010</v>
      </c>
      <c r="D382" t="s">
        <v>53</v>
      </c>
      <c r="E382">
        <v>4566</v>
      </c>
      <c r="F382">
        <f t="shared" si="11"/>
        <v>456600000</v>
      </c>
      <c r="G382">
        <v>34.6</v>
      </c>
      <c r="H382">
        <v>64.3</v>
      </c>
    </row>
    <row r="383" spans="1:8" x14ac:dyDescent="0.3">
      <c r="A383" t="s">
        <v>6</v>
      </c>
      <c r="B383" t="s">
        <v>12</v>
      </c>
      <c r="C383" t="str">
        <f t="shared" si="10"/>
        <v>2010</v>
      </c>
      <c r="D383" t="s">
        <v>53</v>
      </c>
      <c r="E383">
        <v>637</v>
      </c>
      <c r="F383">
        <f t="shared" si="11"/>
        <v>63700000</v>
      </c>
      <c r="G383">
        <v>24.2</v>
      </c>
      <c r="H383">
        <v>72.099999999999994</v>
      </c>
    </row>
    <row r="384" spans="1:8" x14ac:dyDescent="0.3">
      <c r="A384" t="s">
        <v>6</v>
      </c>
      <c r="B384" t="s">
        <v>13</v>
      </c>
      <c r="C384" t="str">
        <f t="shared" si="10"/>
        <v>2010</v>
      </c>
      <c r="D384" t="s">
        <v>53</v>
      </c>
      <c r="E384">
        <v>365</v>
      </c>
      <c r="F384">
        <f t="shared" si="11"/>
        <v>36500000</v>
      </c>
      <c r="G384">
        <v>14.4</v>
      </c>
      <c r="H384">
        <v>62.2</v>
      </c>
    </row>
    <row r="385" spans="1:8" x14ac:dyDescent="0.3">
      <c r="A385" t="s">
        <v>6</v>
      </c>
      <c r="B385" t="s">
        <v>14</v>
      </c>
      <c r="C385" t="str">
        <f t="shared" si="10"/>
        <v>2010</v>
      </c>
      <c r="D385" t="s">
        <v>53</v>
      </c>
      <c r="E385">
        <v>669</v>
      </c>
      <c r="F385">
        <f t="shared" si="11"/>
        <v>66900000</v>
      </c>
      <c r="G385">
        <v>7.8</v>
      </c>
      <c r="H385">
        <v>93</v>
      </c>
    </row>
    <row r="386" spans="1:8" x14ac:dyDescent="0.3">
      <c r="A386" t="s">
        <v>6</v>
      </c>
      <c r="B386" t="s">
        <v>15</v>
      </c>
      <c r="C386" t="str">
        <f t="shared" si="10"/>
        <v>2010</v>
      </c>
      <c r="D386" t="s">
        <v>53</v>
      </c>
      <c r="E386">
        <v>2691</v>
      </c>
      <c r="F386">
        <f t="shared" si="11"/>
        <v>269100000</v>
      </c>
      <c r="G386">
        <v>7.6</v>
      </c>
      <c r="H386">
        <v>91.2</v>
      </c>
    </row>
    <row r="387" spans="1:8" x14ac:dyDescent="0.3">
      <c r="A387" t="s">
        <v>6</v>
      </c>
      <c r="B387" t="s">
        <v>16</v>
      </c>
      <c r="C387" t="str">
        <f t="shared" ref="C387:C444" si="12">RIGHT(D387,4)</f>
        <v>2010</v>
      </c>
      <c r="D387" t="s">
        <v>53</v>
      </c>
      <c r="E387">
        <v>101</v>
      </c>
      <c r="F387">
        <f t="shared" ref="F387:F444" si="13">E387*100000</f>
        <v>10100000</v>
      </c>
      <c r="G387">
        <v>8.1999999999999993</v>
      </c>
      <c r="H387">
        <v>87.4</v>
      </c>
    </row>
    <row r="388" spans="1:8" x14ac:dyDescent="0.3">
      <c r="A388" t="s">
        <v>6</v>
      </c>
      <c r="B388" t="s">
        <v>17</v>
      </c>
      <c r="C388" t="str">
        <f t="shared" si="12"/>
        <v>2010</v>
      </c>
      <c r="D388" t="s">
        <v>53</v>
      </c>
      <c r="E388">
        <v>1371</v>
      </c>
      <c r="F388">
        <f t="shared" si="13"/>
        <v>137100000</v>
      </c>
      <c r="G388">
        <v>9</v>
      </c>
      <c r="H388">
        <v>87.8</v>
      </c>
    </row>
    <row r="389" spans="1:8" x14ac:dyDescent="0.3">
      <c r="A389" t="s">
        <v>6</v>
      </c>
      <c r="B389" t="s">
        <v>18</v>
      </c>
      <c r="C389" t="str">
        <f t="shared" si="12"/>
        <v>2010</v>
      </c>
      <c r="D389" t="s">
        <v>53</v>
      </c>
      <c r="E389">
        <v>501</v>
      </c>
      <c r="F389">
        <f t="shared" si="13"/>
        <v>50100000</v>
      </c>
      <c r="G389">
        <v>0.1</v>
      </c>
      <c r="H389">
        <v>99.9</v>
      </c>
    </row>
    <row r="390" spans="1:8" x14ac:dyDescent="0.3">
      <c r="A390" t="s">
        <v>6</v>
      </c>
      <c r="B390" t="s">
        <v>19</v>
      </c>
      <c r="C390" t="str">
        <f t="shared" si="12"/>
        <v>2010</v>
      </c>
      <c r="D390" t="s">
        <v>53</v>
      </c>
      <c r="E390">
        <v>5585</v>
      </c>
      <c r="F390">
        <f t="shared" si="13"/>
        <v>558500000</v>
      </c>
      <c r="G390">
        <v>12.4</v>
      </c>
      <c r="H390">
        <v>67</v>
      </c>
    </row>
    <row r="391" spans="1:8" x14ac:dyDescent="0.3">
      <c r="A391" t="s">
        <v>6</v>
      </c>
      <c r="B391" t="s">
        <v>20</v>
      </c>
      <c r="C391" t="str">
        <f t="shared" si="12"/>
        <v>2010</v>
      </c>
      <c r="D391" t="s">
        <v>53</v>
      </c>
      <c r="E391">
        <v>20.540664060000001</v>
      </c>
      <c r="F391">
        <f t="shared" si="13"/>
        <v>2054066.4060000002</v>
      </c>
      <c r="G391">
        <v>26.3</v>
      </c>
      <c r="H391">
        <v>52.5</v>
      </c>
    </row>
    <row r="392" spans="1:8" x14ac:dyDescent="0.3">
      <c r="A392" t="s">
        <v>6</v>
      </c>
      <c r="B392" t="s">
        <v>22</v>
      </c>
      <c r="C392" t="str">
        <f t="shared" si="12"/>
        <v>2010</v>
      </c>
      <c r="D392" t="s">
        <v>53</v>
      </c>
      <c r="E392">
        <v>925</v>
      </c>
      <c r="F392">
        <f t="shared" si="13"/>
        <v>92500000</v>
      </c>
      <c r="G392">
        <v>4.0999999999999996</v>
      </c>
      <c r="H392">
        <v>97.5</v>
      </c>
    </row>
    <row r="393" spans="1:8" x14ac:dyDescent="0.3">
      <c r="A393" t="s">
        <v>6</v>
      </c>
      <c r="B393" t="s">
        <v>23</v>
      </c>
      <c r="C393" t="str">
        <f t="shared" si="12"/>
        <v>2010</v>
      </c>
      <c r="D393" t="s">
        <v>53</v>
      </c>
      <c r="E393">
        <v>-6552</v>
      </c>
      <c r="F393">
        <f t="shared" si="13"/>
        <v>-655200000</v>
      </c>
      <c r="G393">
        <v>15.3</v>
      </c>
      <c r="H393">
        <v>85.8</v>
      </c>
    </row>
    <row r="394" spans="1:8" x14ac:dyDescent="0.3">
      <c r="A394" t="s">
        <v>6</v>
      </c>
      <c r="B394" t="s">
        <v>24</v>
      </c>
      <c r="C394" t="str">
        <f t="shared" si="12"/>
        <v>2010</v>
      </c>
      <c r="D394" t="s">
        <v>53</v>
      </c>
      <c r="E394">
        <v>0.45933593900000003</v>
      </c>
      <c r="F394">
        <f t="shared" si="13"/>
        <v>45933.5939</v>
      </c>
      <c r="G394">
        <v>26.3</v>
      </c>
      <c r="H394">
        <v>52.5</v>
      </c>
    </row>
    <row r="395" spans="1:8" x14ac:dyDescent="0.3">
      <c r="A395" t="s">
        <v>6</v>
      </c>
      <c r="B395" t="s">
        <v>25</v>
      </c>
      <c r="C395" t="str">
        <f t="shared" si="12"/>
        <v>2010</v>
      </c>
      <c r="D395" t="s">
        <v>53</v>
      </c>
      <c r="E395">
        <v>4034</v>
      </c>
      <c r="F395">
        <f t="shared" si="13"/>
        <v>403400000</v>
      </c>
      <c r="G395">
        <v>3.2</v>
      </c>
      <c r="H395">
        <v>97.3</v>
      </c>
    </row>
    <row r="396" spans="1:8" x14ac:dyDescent="0.3">
      <c r="A396" t="s">
        <v>6</v>
      </c>
      <c r="B396" t="s">
        <v>26</v>
      </c>
      <c r="C396" t="str">
        <f t="shared" si="12"/>
        <v>2010</v>
      </c>
      <c r="D396" t="s">
        <v>53</v>
      </c>
      <c r="E396">
        <v>287</v>
      </c>
      <c r="F396">
        <f t="shared" si="13"/>
        <v>28700000</v>
      </c>
      <c r="G396">
        <v>23.5</v>
      </c>
      <c r="H396">
        <v>70.599999999999994</v>
      </c>
    </row>
    <row r="397" spans="1:8" x14ac:dyDescent="0.3">
      <c r="A397" t="s">
        <v>6</v>
      </c>
      <c r="B397" t="s">
        <v>27</v>
      </c>
      <c r="C397" t="str">
        <f t="shared" si="12"/>
        <v>2010</v>
      </c>
      <c r="D397" t="s">
        <v>53</v>
      </c>
      <c r="E397">
        <v>46</v>
      </c>
      <c r="F397">
        <f t="shared" si="13"/>
        <v>4600000</v>
      </c>
      <c r="G397">
        <v>69.099999999999994</v>
      </c>
      <c r="H397">
        <v>19.600000000000001</v>
      </c>
    </row>
    <row r="398" spans="1:8" x14ac:dyDescent="0.3">
      <c r="A398" t="s">
        <v>6</v>
      </c>
      <c r="B398" t="s">
        <v>28</v>
      </c>
      <c r="C398" t="str">
        <f t="shared" si="12"/>
        <v>2010</v>
      </c>
      <c r="D398" t="s">
        <v>53</v>
      </c>
      <c r="E398">
        <v>2210</v>
      </c>
      <c r="F398">
        <f t="shared" si="13"/>
        <v>221000000</v>
      </c>
      <c r="G398">
        <v>13.3</v>
      </c>
      <c r="H398">
        <v>28.3</v>
      </c>
    </row>
    <row r="399" spans="1:8" x14ac:dyDescent="0.3">
      <c r="A399" t="s">
        <v>6</v>
      </c>
      <c r="B399" t="s">
        <v>29</v>
      </c>
      <c r="C399" t="str">
        <f t="shared" si="12"/>
        <v>2010</v>
      </c>
      <c r="D399" t="s">
        <v>53</v>
      </c>
      <c r="E399">
        <v>222</v>
      </c>
      <c r="F399">
        <f t="shared" si="13"/>
        <v>22200000</v>
      </c>
      <c r="G399">
        <v>15.5</v>
      </c>
      <c r="H399">
        <v>75.3</v>
      </c>
    </row>
    <row r="400" spans="1:8" x14ac:dyDescent="0.3">
      <c r="A400" t="s">
        <v>6</v>
      </c>
      <c r="B400" t="s">
        <v>30</v>
      </c>
      <c r="C400" t="str">
        <f t="shared" si="12"/>
        <v>2010</v>
      </c>
      <c r="D400" t="s">
        <v>53</v>
      </c>
      <c r="E400">
        <v>62</v>
      </c>
      <c r="F400">
        <f t="shared" si="13"/>
        <v>6200000</v>
      </c>
      <c r="G400">
        <v>35.299999999999997</v>
      </c>
      <c r="H400">
        <v>66</v>
      </c>
    </row>
    <row r="401" spans="1:8" x14ac:dyDescent="0.3">
      <c r="A401" t="s">
        <v>6</v>
      </c>
      <c r="B401" t="s">
        <v>31</v>
      </c>
      <c r="C401" t="str">
        <f t="shared" si="12"/>
        <v>2010</v>
      </c>
      <c r="D401" t="s">
        <v>53</v>
      </c>
      <c r="E401">
        <v>1075</v>
      </c>
      <c r="F401">
        <f t="shared" si="13"/>
        <v>107500000</v>
      </c>
      <c r="G401">
        <v>5.0999999999999996</v>
      </c>
      <c r="H401">
        <v>96.8</v>
      </c>
    </row>
    <row r="402" spans="1:8" x14ac:dyDescent="0.3">
      <c r="A402" t="s">
        <v>6</v>
      </c>
      <c r="B402" t="s">
        <v>32</v>
      </c>
      <c r="C402" t="str">
        <f t="shared" si="12"/>
        <v>2010</v>
      </c>
      <c r="D402" t="s">
        <v>53</v>
      </c>
      <c r="E402">
        <v>39</v>
      </c>
      <c r="F402">
        <f t="shared" si="13"/>
        <v>3900000</v>
      </c>
      <c r="G402">
        <v>13.7</v>
      </c>
      <c r="H402">
        <v>92.4</v>
      </c>
    </row>
    <row r="403" spans="1:8" x14ac:dyDescent="0.3">
      <c r="A403" t="s">
        <v>6</v>
      </c>
      <c r="B403" t="s">
        <v>33</v>
      </c>
      <c r="C403" t="str">
        <f t="shared" si="12"/>
        <v>2010</v>
      </c>
      <c r="D403" t="s">
        <v>53</v>
      </c>
      <c r="E403">
        <v>2576</v>
      </c>
      <c r="F403">
        <f t="shared" si="13"/>
        <v>257600000</v>
      </c>
      <c r="G403">
        <v>1.1000000000000001</v>
      </c>
      <c r="H403">
        <v>99.3</v>
      </c>
    </row>
    <row r="404" spans="1:8" x14ac:dyDescent="0.3">
      <c r="A404" t="s">
        <v>6</v>
      </c>
      <c r="B404" t="s">
        <v>34</v>
      </c>
      <c r="C404" t="str">
        <f t="shared" si="12"/>
        <v>2010</v>
      </c>
      <c r="D404" t="s">
        <v>53</v>
      </c>
      <c r="E404">
        <v>2447</v>
      </c>
      <c r="F404">
        <f t="shared" si="13"/>
        <v>244700000</v>
      </c>
      <c r="G404">
        <v>1.1000000000000001</v>
      </c>
      <c r="H404">
        <v>98.4</v>
      </c>
    </row>
    <row r="405" spans="1:8" x14ac:dyDescent="0.3">
      <c r="A405" t="s">
        <v>6</v>
      </c>
      <c r="B405" t="s">
        <v>35</v>
      </c>
      <c r="C405" t="str">
        <f t="shared" si="12"/>
        <v>2010</v>
      </c>
      <c r="D405" t="s">
        <v>53</v>
      </c>
      <c r="E405">
        <v>155</v>
      </c>
      <c r="F405">
        <f t="shared" si="13"/>
        <v>15500000</v>
      </c>
      <c r="G405">
        <v>7</v>
      </c>
      <c r="H405">
        <v>62.2</v>
      </c>
    </row>
    <row r="406" spans="1:8" x14ac:dyDescent="0.3">
      <c r="A406" t="s">
        <v>6</v>
      </c>
      <c r="B406" t="s">
        <v>36</v>
      </c>
      <c r="C406" t="str">
        <f t="shared" si="12"/>
        <v>2010</v>
      </c>
      <c r="D406" t="s">
        <v>53</v>
      </c>
      <c r="E406">
        <v>4069</v>
      </c>
      <c r="F406">
        <f t="shared" si="13"/>
        <v>406900000</v>
      </c>
      <c r="G406">
        <v>2.7</v>
      </c>
      <c r="H406">
        <v>99.4</v>
      </c>
    </row>
    <row r="407" spans="1:8" x14ac:dyDescent="0.3">
      <c r="A407" t="s">
        <v>6</v>
      </c>
      <c r="B407" t="s">
        <v>37</v>
      </c>
      <c r="C407" t="str">
        <f t="shared" si="12"/>
        <v>2010</v>
      </c>
      <c r="D407" t="s">
        <v>53</v>
      </c>
      <c r="E407">
        <v>4624.3492569999999</v>
      </c>
      <c r="F407">
        <f t="shared" si="13"/>
        <v>462434925.69999999</v>
      </c>
      <c r="G407">
        <v>2.7</v>
      </c>
      <c r="H407">
        <v>95.6</v>
      </c>
    </row>
    <row r="408" spans="1:8" x14ac:dyDescent="0.3">
      <c r="A408" t="s">
        <v>6</v>
      </c>
      <c r="B408" t="s">
        <v>39</v>
      </c>
      <c r="C408" t="str">
        <f t="shared" si="12"/>
        <v>2010</v>
      </c>
      <c r="D408" t="s">
        <v>53</v>
      </c>
      <c r="E408">
        <v>1993</v>
      </c>
      <c r="F408">
        <f t="shared" si="13"/>
        <v>199300000</v>
      </c>
      <c r="G408">
        <v>18.100000000000001</v>
      </c>
      <c r="H408">
        <v>65.7</v>
      </c>
    </row>
    <row r="409" spans="1:8" x14ac:dyDescent="0.3">
      <c r="A409" t="s">
        <v>6</v>
      </c>
      <c r="B409" t="s">
        <v>40</v>
      </c>
      <c r="C409" t="str">
        <f t="shared" si="12"/>
        <v>2010</v>
      </c>
      <c r="D409" t="s">
        <v>53</v>
      </c>
      <c r="E409">
        <v>2112</v>
      </c>
      <c r="F409">
        <f t="shared" si="13"/>
        <v>211200000</v>
      </c>
      <c r="G409">
        <v>7.8</v>
      </c>
      <c r="H409">
        <v>91.9</v>
      </c>
    </row>
    <row r="410" spans="1:8" x14ac:dyDescent="0.3">
      <c r="A410" t="s">
        <v>6</v>
      </c>
      <c r="B410" t="s">
        <v>41</v>
      </c>
      <c r="C410" t="str">
        <f t="shared" si="12"/>
        <v>2010</v>
      </c>
      <c r="D410" t="s">
        <v>53</v>
      </c>
      <c r="E410">
        <v>275</v>
      </c>
      <c r="F410">
        <f t="shared" si="13"/>
        <v>27500000</v>
      </c>
      <c r="G410">
        <v>12.4</v>
      </c>
      <c r="H410">
        <v>97.4</v>
      </c>
    </row>
    <row r="411" spans="1:8" x14ac:dyDescent="0.3">
      <c r="A411" t="s">
        <v>6</v>
      </c>
      <c r="B411" t="s">
        <v>42</v>
      </c>
      <c r="C411" t="str">
        <f t="shared" si="12"/>
        <v>2010</v>
      </c>
      <c r="D411" t="s">
        <v>53</v>
      </c>
      <c r="E411">
        <v>1452</v>
      </c>
      <c r="F411">
        <f t="shared" si="13"/>
        <v>145200000</v>
      </c>
      <c r="G411">
        <v>4</v>
      </c>
      <c r="H411">
        <v>91.1</v>
      </c>
    </row>
    <row r="412" spans="1:8" x14ac:dyDescent="0.3">
      <c r="A412" t="s">
        <v>6</v>
      </c>
      <c r="B412" t="s">
        <v>7</v>
      </c>
      <c r="C412" t="str">
        <f t="shared" si="12"/>
        <v>2009</v>
      </c>
      <c r="D412" t="s">
        <v>54</v>
      </c>
      <c r="E412">
        <v>209</v>
      </c>
      <c r="F412">
        <f t="shared" si="13"/>
        <v>20900000</v>
      </c>
      <c r="G412">
        <v>20</v>
      </c>
      <c r="H412">
        <v>59.2</v>
      </c>
    </row>
    <row r="413" spans="1:8" x14ac:dyDescent="0.3">
      <c r="A413" t="s">
        <v>6</v>
      </c>
      <c r="B413" t="s">
        <v>9</v>
      </c>
      <c r="C413" t="str">
        <f t="shared" si="12"/>
        <v>2009</v>
      </c>
      <c r="D413" t="s">
        <v>54</v>
      </c>
      <c r="E413">
        <v>8013.8558220000004</v>
      </c>
      <c r="F413">
        <f t="shared" si="13"/>
        <v>801385582.20000005</v>
      </c>
      <c r="G413">
        <v>1</v>
      </c>
      <c r="H413">
        <v>88.9</v>
      </c>
    </row>
    <row r="414" spans="1:8" x14ac:dyDescent="0.3">
      <c r="A414" t="s">
        <v>6</v>
      </c>
      <c r="B414" t="s">
        <v>10</v>
      </c>
      <c r="C414" t="str">
        <f t="shared" si="12"/>
        <v>2009</v>
      </c>
      <c r="D414" t="s">
        <v>54</v>
      </c>
      <c r="E414">
        <v>893</v>
      </c>
      <c r="F414">
        <f t="shared" si="13"/>
        <v>89300000</v>
      </c>
      <c r="G414">
        <v>99.9</v>
      </c>
      <c r="H414">
        <v>14.4</v>
      </c>
    </row>
    <row r="415" spans="1:8" x14ac:dyDescent="0.3">
      <c r="A415" t="s">
        <v>6</v>
      </c>
      <c r="B415" t="s">
        <v>11</v>
      </c>
      <c r="C415" t="str">
        <f t="shared" si="12"/>
        <v>2009</v>
      </c>
      <c r="D415" t="s">
        <v>54</v>
      </c>
      <c r="E415">
        <v>644</v>
      </c>
      <c r="F415">
        <f t="shared" si="13"/>
        <v>64400000</v>
      </c>
      <c r="G415">
        <v>34.6</v>
      </c>
      <c r="H415">
        <v>64.3</v>
      </c>
    </row>
    <row r="416" spans="1:8" x14ac:dyDescent="0.3">
      <c r="A416" t="s">
        <v>6</v>
      </c>
      <c r="B416" t="s">
        <v>12</v>
      </c>
      <c r="C416" t="str">
        <f t="shared" si="12"/>
        <v>2009</v>
      </c>
      <c r="D416" t="s">
        <v>54</v>
      </c>
      <c r="E416">
        <v>637</v>
      </c>
      <c r="F416">
        <f t="shared" si="13"/>
        <v>63700000</v>
      </c>
      <c r="G416">
        <v>24.2</v>
      </c>
      <c r="H416">
        <v>72.099999999999994</v>
      </c>
    </row>
    <row r="417" spans="1:8" x14ac:dyDescent="0.3">
      <c r="A417" t="s">
        <v>6</v>
      </c>
      <c r="B417" t="s">
        <v>13</v>
      </c>
      <c r="C417" t="str">
        <f t="shared" si="12"/>
        <v>2009</v>
      </c>
      <c r="D417" t="s">
        <v>54</v>
      </c>
      <c r="E417">
        <v>332</v>
      </c>
      <c r="F417">
        <f t="shared" si="13"/>
        <v>33200000</v>
      </c>
      <c r="G417">
        <v>15.6</v>
      </c>
      <c r="H417">
        <v>60.9</v>
      </c>
    </row>
    <row r="418" spans="1:8" x14ac:dyDescent="0.3">
      <c r="A418" t="s">
        <v>6</v>
      </c>
      <c r="B418" t="s">
        <v>14</v>
      </c>
      <c r="C418" t="str">
        <f t="shared" si="12"/>
        <v>2009</v>
      </c>
      <c r="D418" t="s">
        <v>54</v>
      </c>
      <c r="E418">
        <v>498</v>
      </c>
      <c r="F418">
        <f t="shared" si="13"/>
        <v>49800000</v>
      </c>
      <c r="G418">
        <v>10.1</v>
      </c>
      <c r="H418">
        <v>80</v>
      </c>
    </row>
    <row r="419" spans="1:8" x14ac:dyDescent="0.3">
      <c r="A419" t="s">
        <v>6</v>
      </c>
      <c r="B419" t="s">
        <v>15</v>
      </c>
      <c r="C419" t="str">
        <f t="shared" si="12"/>
        <v>2009</v>
      </c>
      <c r="D419" t="s">
        <v>54</v>
      </c>
      <c r="E419">
        <v>2567</v>
      </c>
      <c r="F419">
        <f t="shared" si="13"/>
        <v>256700000</v>
      </c>
      <c r="G419">
        <v>9.3000000000000007</v>
      </c>
      <c r="H419">
        <v>89</v>
      </c>
    </row>
    <row r="420" spans="1:8" x14ac:dyDescent="0.3">
      <c r="A420" t="s">
        <v>6</v>
      </c>
      <c r="B420" t="s">
        <v>16</v>
      </c>
      <c r="C420" t="str">
        <f t="shared" si="12"/>
        <v>2009</v>
      </c>
      <c r="D420" t="s">
        <v>54</v>
      </c>
      <c r="E420">
        <v>93</v>
      </c>
      <c r="F420">
        <f t="shared" si="13"/>
        <v>9300000</v>
      </c>
      <c r="G420">
        <v>10.9</v>
      </c>
      <c r="H420">
        <v>80.7</v>
      </c>
    </row>
    <row r="421" spans="1:8" x14ac:dyDescent="0.3">
      <c r="A421" t="s">
        <v>6</v>
      </c>
      <c r="B421" t="s">
        <v>17</v>
      </c>
      <c r="C421" t="str">
        <f t="shared" si="12"/>
        <v>2009</v>
      </c>
      <c r="D421" t="s">
        <v>54</v>
      </c>
      <c r="E421">
        <v>6026</v>
      </c>
      <c r="F421">
        <f t="shared" si="13"/>
        <v>602600000</v>
      </c>
      <c r="G421">
        <v>10.199999999999999</v>
      </c>
      <c r="H421">
        <v>87.2</v>
      </c>
    </row>
    <row r="422" spans="1:8" x14ac:dyDescent="0.3">
      <c r="A422" t="s">
        <v>6</v>
      </c>
      <c r="B422" t="s">
        <v>18</v>
      </c>
      <c r="C422" t="str">
        <f t="shared" si="12"/>
        <v>2009</v>
      </c>
      <c r="D422" t="s">
        <v>54</v>
      </c>
      <c r="E422">
        <v>-1399</v>
      </c>
      <c r="F422">
        <f t="shared" si="13"/>
        <v>-139900000</v>
      </c>
      <c r="G422">
        <v>0.1</v>
      </c>
      <c r="H422">
        <v>99.9</v>
      </c>
    </row>
    <row r="423" spans="1:8" x14ac:dyDescent="0.3">
      <c r="A423" t="s">
        <v>6</v>
      </c>
      <c r="B423" t="s">
        <v>19</v>
      </c>
      <c r="C423" t="str">
        <f t="shared" si="12"/>
        <v>2009</v>
      </c>
      <c r="D423" t="s">
        <v>54</v>
      </c>
      <c r="E423">
        <v>3553</v>
      </c>
      <c r="F423">
        <f t="shared" si="13"/>
        <v>355300000</v>
      </c>
      <c r="G423">
        <v>13.2</v>
      </c>
      <c r="H423">
        <v>80</v>
      </c>
    </row>
    <row r="424" spans="1:8" x14ac:dyDescent="0.3">
      <c r="A424" t="s">
        <v>6</v>
      </c>
      <c r="B424" t="s">
        <v>20</v>
      </c>
      <c r="C424" t="str">
        <f t="shared" si="12"/>
        <v>2009</v>
      </c>
      <c r="D424" t="s">
        <v>54</v>
      </c>
      <c r="E424">
        <v>1.9562537200000001</v>
      </c>
      <c r="F424">
        <f t="shared" si="13"/>
        <v>195625.372</v>
      </c>
      <c r="G424">
        <v>19.100000000000001</v>
      </c>
      <c r="H424">
        <v>58.3</v>
      </c>
    </row>
    <row r="425" spans="1:8" x14ac:dyDescent="0.3">
      <c r="A425" t="s">
        <v>6</v>
      </c>
      <c r="B425" t="s">
        <v>22</v>
      </c>
      <c r="C425" t="str">
        <f t="shared" si="12"/>
        <v>2009</v>
      </c>
      <c r="D425" t="s">
        <v>54</v>
      </c>
      <c r="E425">
        <v>925</v>
      </c>
      <c r="F425">
        <f t="shared" si="13"/>
        <v>92500000</v>
      </c>
      <c r="G425">
        <v>4.3</v>
      </c>
      <c r="H425">
        <v>97.6</v>
      </c>
    </row>
    <row r="426" spans="1:8" x14ac:dyDescent="0.3">
      <c r="A426" t="s">
        <v>6</v>
      </c>
      <c r="B426" t="s">
        <v>23</v>
      </c>
      <c r="C426" t="str">
        <f t="shared" si="12"/>
        <v>2009</v>
      </c>
      <c r="D426" t="s">
        <v>54</v>
      </c>
      <c r="E426">
        <v>-19407</v>
      </c>
      <c r="F426">
        <f t="shared" si="13"/>
        <v>-1940700000</v>
      </c>
      <c r="G426">
        <v>19.100000000000001</v>
      </c>
      <c r="H426">
        <v>81.8</v>
      </c>
    </row>
    <row r="427" spans="1:8" x14ac:dyDescent="0.3">
      <c r="A427" t="s">
        <v>6</v>
      </c>
      <c r="B427" t="s">
        <v>24</v>
      </c>
      <c r="C427" t="str">
        <f t="shared" si="12"/>
        <v>2009</v>
      </c>
      <c r="D427" t="s">
        <v>54</v>
      </c>
      <c r="E427">
        <v>4.3746279999999999E-2</v>
      </c>
      <c r="F427">
        <f t="shared" si="13"/>
        <v>4374.6279999999997</v>
      </c>
      <c r="G427">
        <v>19.100000000000001</v>
      </c>
      <c r="H427">
        <v>58.3</v>
      </c>
    </row>
    <row r="428" spans="1:8" x14ac:dyDescent="0.3">
      <c r="A428" t="s">
        <v>6</v>
      </c>
      <c r="B428" t="s">
        <v>25</v>
      </c>
      <c r="C428" t="str">
        <f t="shared" si="12"/>
        <v>2009</v>
      </c>
      <c r="D428" t="s">
        <v>54</v>
      </c>
      <c r="E428">
        <v>1811</v>
      </c>
      <c r="F428">
        <f t="shared" si="13"/>
        <v>181100000</v>
      </c>
      <c r="G428">
        <v>2.4</v>
      </c>
      <c r="H428">
        <v>96.9</v>
      </c>
    </row>
    <row r="429" spans="1:8" x14ac:dyDescent="0.3">
      <c r="A429" t="s">
        <v>6</v>
      </c>
      <c r="B429" t="s">
        <v>26</v>
      </c>
      <c r="C429" t="str">
        <f t="shared" si="12"/>
        <v>2009</v>
      </c>
      <c r="D429" t="s">
        <v>54</v>
      </c>
      <c r="E429">
        <v>287</v>
      </c>
      <c r="F429">
        <f t="shared" si="13"/>
        <v>28700000</v>
      </c>
      <c r="G429">
        <v>20.9</v>
      </c>
      <c r="H429">
        <v>79.599999999999994</v>
      </c>
    </row>
    <row r="430" spans="1:8" x14ac:dyDescent="0.3">
      <c r="A430" t="s">
        <v>6</v>
      </c>
      <c r="B430" t="s">
        <v>27</v>
      </c>
      <c r="C430" t="str">
        <f t="shared" si="12"/>
        <v>2009</v>
      </c>
      <c r="D430" t="s">
        <v>54</v>
      </c>
      <c r="E430">
        <v>73</v>
      </c>
      <c r="F430">
        <f t="shared" si="13"/>
        <v>7300000</v>
      </c>
      <c r="G430">
        <v>69.099999999999994</v>
      </c>
      <c r="H430">
        <v>19.600000000000001</v>
      </c>
    </row>
    <row r="431" spans="1:8" x14ac:dyDescent="0.3">
      <c r="A431" t="s">
        <v>6</v>
      </c>
      <c r="B431" t="s">
        <v>28</v>
      </c>
      <c r="C431" t="str">
        <f t="shared" si="12"/>
        <v>2009</v>
      </c>
      <c r="D431" t="s">
        <v>54</v>
      </c>
      <c r="E431">
        <v>1938</v>
      </c>
      <c r="F431">
        <f t="shared" si="13"/>
        <v>193800000</v>
      </c>
      <c r="G431">
        <v>15</v>
      </c>
      <c r="H431">
        <v>20.100000000000001</v>
      </c>
    </row>
    <row r="432" spans="1:8" x14ac:dyDescent="0.3">
      <c r="A432" t="s">
        <v>6</v>
      </c>
      <c r="B432" t="s">
        <v>29</v>
      </c>
      <c r="C432" t="str">
        <f t="shared" si="12"/>
        <v>2009</v>
      </c>
      <c r="D432" t="s">
        <v>54</v>
      </c>
      <c r="E432">
        <v>214</v>
      </c>
      <c r="F432">
        <f t="shared" si="13"/>
        <v>21400000</v>
      </c>
      <c r="G432">
        <v>15.5</v>
      </c>
      <c r="H432">
        <v>75.3</v>
      </c>
    </row>
    <row r="433" spans="1:8" x14ac:dyDescent="0.3">
      <c r="A433" t="s">
        <v>6</v>
      </c>
      <c r="B433" t="s">
        <v>30</v>
      </c>
      <c r="C433" t="str">
        <f t="shared" si="12"/>
        <v>2009</v>
      </c>
      <c r="D433" t="s">
        <v>54</v>
      </c>
      <c r="E433">
        <v>51</v>
      </c>
      <c r="F433">
        <f t="shared" si="13"/>
        <v>5100000</v>
      </c>
      <c r="G433">
        <v>41.9</v>
      </c>
      <c r="H433">
        <v>67.099999999999994</v>
      </c>
    </row>
    <row r="434" spans="1:8" x14ac:dyDescent="0.3">
      <c r="A434" t="s">
        <v>6</v>
      </c>
      <c r="B434" t="s">
        <v>31</v>
      </c>
      <c r="C434" t="str">
        <f t="shared" si="12"/>
        <v>2009</v>
      </c>
      <c r="D434" t="s">
        <v>54</v>
      </c>
      <c r="E434">
        <v>1034</v>
      </c>
      <c r="F434">
        <f t="shared" si="13"/>
        <v>103400000</v>
      </c>
      <c r="G434">
        <v>4.5999999999999996</v>
      </c>
      <c r="H434">
        <v>96.7</v>
      </c>
    </row>
    <row r="435" spans="1:8" x14ac:dyDescent="0.3">
      <c r="A435" t="s">
        <v>6</v>
      </c>
      <c r="B435" t="s">
        <v>32</v>
      </c>
      <c r="C435" t="str">
        <f t="shared" si="12"/>
        <v>2009</v>
      </c>
      <c r="D435" t="s">
        <v>54</v>
      </c>
      <c r="E435">
        <v>31</v>
      </c>
      <c r="F435">
        <f t="shared" si="13"/>
        <v>3100000</v>
      </c>
      <c r="G435">
        <v>6.2</v>
      </c>
      <c r="H435">
        <v>92</v>
      </c>
    </row>
    <row r="436" spans="1:8" x14ac:dyDescent="0.3">
      <c r="A436" t="s">
        <v>6</v>
      </c>
      <c r="B436" t="s">
        <v>33</v>
      </c>
      <c r="C436" t="str">
        <f t="shared" si="12"/>
        <v>2009</v>
      </c>
      <c r="D436" t="s">
        <v>54</v>
      </c>
      <c r="E436">
        <v>757</v>
      </c>
      <c r="F436">
        <f t="shared" si="13"/>
        <v>75700000</v>
      </c>
      <c r="G436">
        <v>1.2</v>
      </c>
      <c r="H436">
        <v>99.2</v>
      </c>
    </row>
    <row r="437" spans="1:8" x14ac:dyDescent="0.3">
      <c r="A437" t="s">
        <v>6</v>
      </c>
      <c r="B437" t="s">
        <v>34</v>
      </c>
      <c r="C437" t="str">
        <f t="shared" si="12"/>
        <v>2009</v>
      </c>
      <c r="D437" t="s">
        <v>54</v>
      </c>
      <c r="E437">
        <v>1317</v>
      </c>
      <c r="F437">
        <f t="shared" si="13"/>
        <v>131700000</v>
      </c>
      <c r="G437">
        <v>1.8</v>
      </c>
      <c r="H437">
        <v>97.1</v>
      </c>
    </row>
    <row r="438" spans="1:8" x14ac:dyDescent="0.3">
      <c r="A438" t="s">
        <v>6</v>
      </c>
      <c r="B438" t="s">
        <v>35</v>
      </c>
      <c r="C438" t="str">
        <f t="shared" si="12"/>
        <v>2009</v>
      </c>
      <c r="D438" t="s">
        <v>54</v>
      </c>
      <c r="E438">
        <v>155</v>
      </c>
      <c r="F438">
        <f t="shared" si="13"/>
        <v>15500000</v>
      </c>
      <c r="G438">
        <v>7</v>
      </c>
      <c r="H438">
        <v>62.2</v>
      </c>
    </row>
    <row r="439" spans="1:8" x14ac:dyDescent="0.3">
      <c r="A439" t="s">
        <v>6</v>
      </c>
      <c r="B439" t="s">
        <v>36</v>
      </c>
      <c r="C439" t="str">
        <f t="shared" si="12"/>
        <v>2009</v>
      </c>
      <c r="D439" t="s">
        <v>54</v>
      </c>
      <c r="E439">
        <v>1880</v>
      </c>
      <c r="F439">
        <f t="shared" si="13"/>
        <v>188000000</v>
      </c>
      <c r="G439">
        <v>3.6</v>
      </c>
      <c r="H439">
        <v>99.8</v>
      </c>
    </row>
    <row r="440" spans="1:8" x14ac:dyDescent="0.3">
      <c r="A440" t="s">
        <v>6</v>
      </c>
      <c r="B440" t="s">
        <v>37</v>
      </c>
      <c r="C440" t="str">
        <f t="shared" si="12"/>
        <v>2009</v>
      </c>
      <c r="D440" t="s">
        <v>54</v>
      </c>
      <c r="E440">
        <v>5658.1441779999996</v>
      </c>
      <c r="F440">
        <f t="shared" si="13"/>
        <v>565814417.79999995</v>
      </c>
      <c r="G440">
        <v>1</v>
      </c>
      <c r="H440">
        <v>88.9</v>
      </c>
    </row>
    <row r="441" spans="1:8" x14ac:dyDescent="0.3">
      <c r="A441" t="s">
        <v>6</v>
      </c>
      <c r="B441" t="s">
        <v>39</v>
      </c>
      <c r="C441" t="str">
        <f t="shared" si="12"/>
        <v>2009</v>
      </c>
      <c r="D441" t="s">
        <v>54</v>
      </c>
      <c r="E441">
        <v>1993</v>
      </c>
      <c r="F441">
        <f t="shared" si="13"/>
        <v>199300000</v>
      </c>
      <c r="G441">
        <v>18.100000000000001</v>
      </c>
      <c r="H441">
        <v>65.7</v>
      </c>
    </row>
    <row r="442" spans="1:8" x14ac:dyDescent="0.3">
      <c r="A442" t="s">
        <v>6</v>
      </c>
      <c r="B442" t="s">
        <v>40</v>
      </c>
      <c r="C442" t="str">
        <f t="shared" si="12"/>
        <v>2009</v>
      </c>
      <c r="D442" t="s">
        <v>54</v>
      </c>
      <c r="E442">
        <v>2036</v>
      </c>
      <c r="F442">
        <f t="shared" si="13"/>
        <v>203600000</v>
      </c>
      <c r="G442">
        <v>10.3</v>
      </c>
      <c r="H442">
        <v>90.2</v>
      </c>
    </row>
    <row r="443" spans="1:8" x14ac:dyDescent="0.3">
      <c r="A443" t="s">
        <v>6</v>
      </c>
      <c r="B443" t="s">
        <v>41</v>
      </c>
      <c r="C443" t="str">
        <f t="shared" si="12"/>
        <v>2009</v>
      </c>
      <c r="D443" t="s">
        <v>54</v>
      </c>
      <c r="E443">
        <v>210</v>
      </c>
      <c r="F443">
        <f t="shared" si="13"/>
        <v>21000000</v>
      </c>
      <c r="G443">
        <v>12.4</v>
      </c>
      <c r="H443">
        <v>97.4</v>
      </c>
    </row>
    <row r="444" spans="1:8" x14ac:dyDescent="0.3">
      <c r="A444" t="s">
        <v>6</v>
      </c>
      <c r="B444" t="s">
        <v>42</v>
      </c>
      <c r="C444" t="str">
        <f t="shared" si="12"/>
        <v>2009</v>
      </c>
      <c r="D444" t="s">
        <v>54</v>
      </c>
      <c r="E444">
        <v>1452</v>
      </c>
      <c r="F444">
        <f t="shared" si="13"/>
        <v>145200000</v>
      </c>
      <c r="G444">
        <v>4</v>
      </c>
      <c r="H444">
        <v>91.1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- Indicators of Financi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</dc:creator>
  <cp:lastModifiedBy>VINAYAK SHARMA</cp:lastModifiedBy>
  <dcterms:created xsi:type="dcterms:W3CDTF">2026-07-23T15:06:36Z</dcterms:created>
  <dcterms:modified xsi:type="dcterms:W3CDTF">2026-07-23T17:12:56Z</dcterms:modified>
</cp:coreProperties>
</file>